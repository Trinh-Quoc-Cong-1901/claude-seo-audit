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Huong_Dan" sheetId="1" state="visible" r:id="rId1"/>
    <sheet name="Tong_Quan" sheetId="2" state="visible" r:id="rId2"/>
    <sheet name="Tuan_01" sheetId="3" state="visible" r:id="rId3"/>
    <sheet name="Tuan_02" sheetId="4" state="visible" r:id="rId4"/>
    <sheet name="Tuan_03" sheetId="5" state="visible" r:id="rId5"/>
    <sheet name="Tuan_04" sheetId="6" state="visible" r:id="rId6"/>
    <sheet name="Tuan_05" sheetId="7" state="visible" r:id="rId7"/>
    <sheet name="Tuan_06" sheetId="8" state="visible" r:id="rId8"/>
    <sheet name="Tuan_07" sheetId="9" state="visible" r:id="rId9"/>
    <sheet name="Tuan_08" sheetId="10" state="visible" r:id="rId10"/>
    <sheet name="Tuan_09" sheetId="11" state="visible" r:id="rId11"/>
    <sheet name="Tuan_10" sheetId="12" state="visible" r:id="rId12"/>
    <sheet name="Tuan_11" sheetId="13" state="visible" r:id="rId13"/>
    <sheet name="Tuan_12" sheetId="14" state="visible" r:id="rId14"/>
    <sheet name="PageSpeed_Log" sheetId="15" state="visible" r:id="rId15"/>
    <sheet name="Thang_04-12" sheetId="16" state="visible" r:id="rId16"/>
  </sheets>
  <definedNames>
    <definedName name="_xlnm._FilterDatabase" localSheetId="2" hidden="1">'Tuan_01'!$A$4:$N$19</definedName>
    <definedName name="_xlnm._FilterDatabase" localSheetId="3" hidden="1">'Tuan_02'!$A$4:$N$9</definedName>
    <definedName name="_xlnm._FilterDatabase" localSheetId="4" hidden="1">'Tuan_03'!$A$4:$N$10</definedName>
    <definedName name="_xlnm._FilterDatabase" localSheetId="5" hidden="1">'Tuan_04'!$A$4:$N$9</definedName>
    <definedName name="_xlnm._FilterDatabase" localSheetId="6" hidden="1">'Tuan_05'!$A$4:$N$8</definedName>
    <definedName name="_xlnm._FilterDatabase" localSheetId="7" hidden="1">'Tuan_06'!$A$4:$N$8</definedName>
    <definedName name="_xlnm._FilterDatabase" localSheetId="8" hidden="1">'Tuan_07'!$A$4:$N$8</definedName>
    <definedName name="_xlnm._FilterDatabase" localSheetId="9" hidden="1">'Tuan_08'!$A$4:$N$7</definedName>
    <definedName name="_xlnm._FilterDatabase" localSheetId="10" hidden="1">'Tuan_09'!$A$4:$N$8</definedName>
    <definedName name="_xlnm._FilterDatabase" localSheetId="11" hidden="1">'Tuan_10'!$A$4:$N$8</definedName>
    <definedName name="_xlnm._FilterDatabase" localSheetId="12" hidden="1">'Tuan_11'!$A$4:$N$7</definedName>
    <definedName name="_xlnm._FilterDatabase" localSheetId="13" hidden="1">'Tuan_12'!$A$4:$N$8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7">
    <font>
      <name val="Calibri"/>
      <family val="2"/>
      <color theme="1"/>
      <sz val="11"/>
      <scheme val="minor"/>
    </font>
    <font>
      <name val="Arial"/>
      <b val="1"/>
      <color rgb="001E3A5F"/>
      <sz val="16"/>
    </font>
    <font>
      <name val="Arial"/>
      <i val="1"/>
      <color rgb="00555555"/>
      <sz val="10"/>
    </font>
    <font>
      <name val="Arial"/>
      <b val="1"/>
      <color rgb="001E3A5F"/>
      <sz val="10"/>
    </font>
    <font>
      <name val="Arial"/>
      <sz val="10"/>
    </font>
    <font>
      <name val="Arial"/>
      <b val="1"/>
      <color rgb="001E3A5F"/>
      <sz val="14"/>
    </font>
    <font>
      <name val="Arial"/>
      <b val="1"/>
      <sz val="10"/>
    </font>
    <font>
      <name val="Arial"/>
      <b val="1"/>
      <color rgb="002D6A4F"/>
      <sz val="12"/>
    </font>
    <font>
      <name val="Arial"/>
      <color rgb="00555555"/>
      <sz val="10"/>
    </font>
    <font>
      <name val="Arial"/>
      <b val="1"/>
      <color rgb="00FFFFFF"/>
      <sz val="10"/>
    </font>
    <font>
      <name val="Arial"/>
      <b val="1"/>
      <color rgb="00C53030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  <font>
      <name val="Arial"/>
      <color rgb="000000FF"/>
      <sz val="10"/>
    </font>
    <font>
      <name val="Arial"/>
      <b val="1"/>
      <color rgb="001E3A5F"/>
      <sz val="12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9DB"/>
      </patternFill>
    </fill>
    <fill>
      <patternFill patternType="solid">
        <fgColor rgb="00FAF9F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165" fontId="11" fillId="0" borderId="1" applyAlignment="1" pivotButton="0" quotePrefix="0" xfId="0">
      <alignment vertical="center"/>
    </xf>
    <xf numFmtId="0" fontId="11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9" fontId="11" fillId="0" borderId="1" applyAlignment="1" pivotButton="0" quotePrefix="0" xfId="0">
      <alignment vertical="center"/>
    </xf>
    <xf numFmtId="0" fontId="6" fillId="4" borderId="1" pivotButton="0" quotePrefix="0" xfId="0"/>
    <xf numFmtId="0" fontId="0" fillId="4" borderId="1" pivotButton="0" quotePrefix="0" xfId="0"/>
    <xf numFmtId="9" fontId="6" fillId="4" borderId="1" pivotButton="0" quotePrefix="0" xfId="0"/>
    <xf numFmtId="0" fontId="14" fillId="0" borderId="0" pivotButton="0" quotePrefix="0" xfId="0"/>
    <xf numFmtId="0" fontId="6" fillId="0" borderId="0" pivotButton="0" quotePrefix="0" xfId="0"/>
    <xf numFmtId="9" fontId="7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165" fontId="4" fillId="3" borderId="1" applyAlignment="1" pivotButton="0" quotePrefix="0" xfId="0">
      <alignment vertical="top" wrapText="1"/>
    </xf>
    <xf numFmtId="165" fontId="11" fillId="0" borderId="1" pivotButton="0" quotePrefix="0" xfId="0"/>
    <xf numFmtId="0" fontId="11" fillId="0" borderId="1" pivotButton="0" quotePrefix="0" xfId="0"/>
    <xf numFmtId="0" fontId="15" fillId="0" borderId="1" pivotButton="0" quotePrefix="0" xfId="0"/>
    <xf numFmtId="165" fontId="11" fillId="3" borderId="1" pivotButton="0" quotePrefix="0" xfId="0"/>
    <xf numFmtId="0" fontId="11" fillId="3" borderId="1" pivotButton="0" quotePrefix="0" xfId="0"/>
    <xf numFmtId="0" fontId="16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D8F3DC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DCEBFA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Tuan_01'!A1" TargetMode="External" Id="rId1" /><Relationship Type="http://schemas.openxmlformats.org/officeDocument/2006/relationships/hyperlink" Target="#'Tuan_02'!A1" TargetMode="External" Id="rId2" /><Relationship Type="http://schemas.openxmlformats.org/officeDocument/2006/relationships/hyperlink" Target="#'Tuan_03'!A1" TargetMode="External" Id="rId3" /><Relationship Type="http://schemas.openxmlformats.org/officeDocument/2006/relationships/hyperlink" Target="#'Tuan_04'!A1" TargetMode="External" Id="rId4" /><Relationship Type="http://schemas.openxmlformats.org/officeDocument/2006/relationships/hyperlink" Target="#'Tuan_05'!A1" TargetMode="External" Id="rId5" /><Relationship Type="http://schemas.openxmlformats.org/officeDocument/2006/relationships/hyperlink" Target="#'Tuan_06'!A1" TargetMode="External" Id="rId6" /><Relationship Type="http://schemas.openxmlformats.org/officeDocument/2006/relationships/hyperlink" Target="#'Tuan_07'!A1" TargetMode="External" Id="rId7" /><Relationship Type="http://schemas.openxmlformats.org/officeDocument/2006/relationships/hyperlink" Target="#'Tuan_08'!A1" TargetMode="External" Id="rId8" /><Relationship Type="http://schemas.openxmlformats.org/officeDocument/2006/relationships/hyperlink" Target="#'Tuan_09'!A1" TargetMode="External" Id="rId9" /><Relationship Type="http://schemas.openxmlformats.org/officeDocument/2006/relationships/hyperlink" Target="#'Tuan_10'!A1" TargetMode="External" Id="rId10" /><Relationship Type="http://schemas.openxmlformats.org/officeDocument/2006/relationships/hyperlink" Target="#'Tuan_11'!A1" TargetMode="External" Id="rId11" /><Relationship Type="http://schemas.openxmlformats.org/officeDocument/2006/relationships/hyperlink" Target="#'Tuan_12'!A1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" t="inlineStr">
        <is>
          <t>CARÉTTA (caretta.vn): kế hoạch công việc SEO theo tuần</t>
        </is>
      </c>
    </row>
    <row r="2">
      <c r="A2" s="2" t="inlineStr">
        <is>
          <t>Bắt đầu: Thứ 2, 05/10/2026. Nguồn: bản Audit SEO caretta.vn (25/09/2026) và file CARETTA_SEO_Strategy.xlsx.</t>
        </is>
      </c>
    </row>
    <row r="4">
      <c r="A4" s="3" t="inlineStr">
        <is>
          <t>Cách dùng</t>
        </is>
      </c>
      <c r="B4" s="4" t="inlineStr"/>
    </row>
    <row r="5">
      <c r="A5" s="3" t="inlineStr">
        <is>
          <t>1</t>
        </is>
      </c>
      <c r="B5" s="4" t="inlineStr">
        <is>
          <t>Mỗi tuần một sheet (Tuan_01 … Tuan_12). Mỗi dòng là một task, làm lần lượt từ trên xuống.</t>
        </is>
      </c>
    </row>
    <row r="6">
      <c r="A6" s="3" t="inlineStr">
        <is>
          <t>2</t>
        </is>
      </c>
      <c r="B6" s="4" t="inlineStr">
        <is>
          <t>Chỉ sửa các ô nền vàng: Phụ trách, Hạn chót, Trạng thái, Ngày xong, Ghi chú / link bằng chứng.</t>
        </is>
      </c>
    </row>
    <row r="7">
      <c r="A7" s="3" t="inlineStr">
        <is>
          <t>3</t>
        </is>
      </c>
      <c r="B7" s="4" t="inlineStr">
        <is>
          <t>Cột Trạng thái chọn từ danh sách: Chưa làm, Đang làm, Chờ duyệt, Xong, Vướng. Dòng tự đổi màu.</t>
        </is>
      </c>
    </row>
    <row r="8">
      <c r="A8" s="3" t="inlineStr">
        <is>
          <t>4</t>
        </is>
      </c>
      <c r="B8" s="4" t="inlineStr">
        <is>
          <t>Task chỉ được chuyển 'Xong' khi đạt cột 'Tiêu chí hoàn thành'. Dán link ảnh chụp/Drive vào Ghi chú.</t>
        </is>
      </c>
    </row>
    <row r="9">
      <c r="A9" s="3" t="inlineStr">
        <is>
          <t>5</t>
        </is>
      </c>
      <c r="B9" s="4" t="inlineStr">
        <is>
          <t>Sheet Tong_Quan tự tính % hoàn thành từng tuần. Không sửa sheet này.</t>
        </is>
      </c>
    </row>
    <row r="10">
      <c r="A10" s="3" t="inlineStr">
        <is>
          <t>6</t>
        </is>
      </c>
      <c r="B10" s="4" t="inlineStr">
        <is>
          <t>Sheet PageSpeed_Log: ghi kết quả đo https://pagespeed.web.dev/ (Mobile và Desktop) ở tuần 1, 4, 8, 10, 12.</t>
        </is>
      </c>
    </row>
    <row r="11">
      <c r="A11" s="3" t="inlineStr">
        <is>
          <t>7</t>
        </is>
      </c>
      <c r="B11" s="4" t="inlineStr">
        <is>
          <t>Sheet Thang_04-12: việc nội dung sau giai đoạn sửa website, chi tiết hóa thành sheet tuần khi tới tháng đó.</t>
        </is>
      </c>
    </row>
    <row r="12">
      <c r="A12" s="3" t="inlineStr"/>
      <c r="B12" s="4" t="inlineStr"/>
    </row>
    <row r="13">
      <c r="A13" s="3" t="inlineStr">
        <is>
          <t>Ưu tiên</t>
        </is>
      </c>
      <c r="B13" s="4" t="inlineStr">
        <is>
          <t>P0 = bắt buộc trong tuần; P1 = nên làm trong tuần, có thể dời 1 tuần; P2 = làm khi có thời gian.</t>
        </is>
      </c>
    </row>
    <row r="14">
      <c r="A14" s="3" t="inlineStr">
        <is>
          <t>Phụ trách</t>
        </is>
      </c>
      <c r="B14" s="4" t="inlineStr">
        <is>
          <t>Dev, SEO, Content, Chủ shop. Đổi thành tên người thật khi giao việc.</t>
        </is>
      </c>
    </row>
    <row r="15">
      <c r="A15" s="3" t="inlineStr">
        <is>
          <t>Nguyên tắc</t>
        </is>
      </c>
      <c r="B15" s="4" t="inlineStr">
        <is>
          <t>Không viết blog khi trang sản phẩm chưa render đúng (SSR). Nội dung an toàn: đồ bơi trợ nổi không phải thiết bị cứu sinh, trẻ em cần người lớn giám sát.</t>
        </is>
      </c>
    </row>
    <row r="16">
      <c r="A16" s="3" t="inlineStr">
        <is>
          <t>Ghi chú GSC</t>
        </is>
      </c>
      <c r="B16" s="4" t="inlineStr">
        <is>
          <t>Audit ghi nhận Search Console đã được xác minh. Tuần 1 là cấp quyền cho team SEO, thêm property Domain (nếu chưa có), gửi sitemap và lấy số liệu nền.</t>
        </is>
      </c>
    </row>
    <row r="17">
      <c r="A17" s="3" t="inlineStr">
        <is>
          <t>Ghi chú Firebase</t>
        </is>
      </c>
      <c r="B17" s="4" t="inlineStr">
        <is>
          <t>Trên web, Firebase Analytics chính là GA4. Chỉ cài một mã đo (Firebase SDK hoặc gtag.js), không cài cả hai để tránh đếm trùng.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1" customWidth="1" min="3" max="3"/>
    <col width="11" customWidth="1" min="4" max="4"/>
    <col width="7" customWidth="1" min="5" max="5"/>
    <col width="48" customWidth="1" min="6" max="6"/>
    <col width="10" customWidth="1" min="7" max="7"/>
    <col width="6" customWidth="1" min="8" max="8"/>
    <col width="7" customWidth="1" min="9" max="9"/>
    <col width="10" customWidth="1" min="10" max="10"/>
    <col width="8" customWidth="1" min="11" max="11"/>
    <col width="13" customWidth="1" min="12" max="12"/>
  </cols>
  <sheetData>
    <row r="1">
      <c r="A1" s="5" t="inlineStr">
        <is>
          <t>Tổng quan tiến độ 12 tuần (giai đoạn sửa website)</t>
        </is>
      </c>
    </row>
    <row r="3">
      <c r="A3" s="6" t="inlineStr">
        <is>
          <t>Tuần</t>
        </is>
      </c>
      <c r="B3" s="6" t="inlineStr">
        <is>
          <t>Sheet</t>
        </is>
      </c>
      <c r="C3" s="6" t="inlineStr">
        <is>
          <t>Từ ngày</t>
        </is>
      </c>
      <c r="D3" s="6" t="inlineStr">
        <is>
          <t>Đến ngày</t>
        </is>
      </c>
      <c r="E3" s="6" t="inlineStr">
        <is>
          <t>Tháng</t>
        </is>
      </c>
      <c r="F3" s="6" t="inlineStr">
        <is>
          <t>Trọng tâm</t>
        </is>
      </c>
      <c r="G3" s="6" t="inlineStr">
        <is>
          <t>Tổng task</t>
        </is>
      </c>
      <c r="H3" s="6" t="inlineStr">
        <is>
          <t>P0</t>
        </is>
      </c>
      <c r="I3" s="6" t="inlineStr">
        <is>
          <t>Xong</t>
        </is>
      </c>
      <c r="J3" s="6" t="inlineStr">
        <is>
          <t>Đang làm</t>
        </is>
      </c>
      <c r="K3" s="6" t="inlineStr">
        <is>
          <t>Vướng</t>
        </is>
      </c>
      <c r="L3" s="6" t="inlineStr">
        <is>
          <t>% hoàn thành</t>
        </is>
      </c>
    </row>
    <row r="4">
      <c r="A4" s="7" t="n">
        <v>1</v>
      </c>
      <c r="B4" s="8" t="inlineStr">
        <is>
          <t>Tuan_01</t>
        </is>
      </c>
      <c r="C4" s="9" t="n">
        <v>46300</v>
      </c>
      <c r="D4" s="9" t="n">
        <v>46306</v>
      </c>
      <c r="E4" s="7" t="n">
        <v>1</v>
      </c>
      <c r="F4" s="10" t="inlineStr">
        <is>
          <t>Đo lường + kiểm tra nền + sửa lỗi kỹ thuật nhỏ</t>
        </is>
      </c>
      <c r="G4" s="11">
        <f>COUNTA(Tuan_01!B5:B39)</f>
        <v/>
      </c>
      <c r="H4" s="11">
        <f>COUNTIF(Tuan_01!H5:H39,"P0")</f>
        <v/>
      </c>
      <c r="I4" s="11">
        <f>COUNTIF(Tuan_01!J5:J39,"Xong")</f>
        <v/>
      </c>
      <c r="J4" s="11">
        <f>COUNTIF(Tuan_01!J5:J39,"Đang làm")</f>
        <v/>
      </c>
      <c r="K4" s="11">
        <f>COUNTIF(Tuan_01!J5:J39,"Vướng")</f>
        <v/>
      </c>
      <c r="L4" s="12">
        <f>IFERROR(I4/G4,0)</f>
        <v/>
      </c>
    </row>
    <row r="5">
      <c r="A5" s="7" t="n">
        <v>2</v>
      </c>
      <c r="B5" s="8" t="inlineStr">
        <is>
          <t>Tuan_02</t>
        </is>
      </c>
      <c r="C5" s="9" t="n">
        <v>46307</v>
      </c>
      <c r="D5" s="9" t="n">
        <v>46313</v>
      </c>
      <c r="E5" s="7" t="n">
        <v>1</v>
      </c>
      <c r="F5" s="10" t="inlineStr">
        <is>
          <t>Render phía máy chủ (SSR) trang sản phẩm</t>
        </is>
      </c>
      <c r="G5" s="11">
        <f>COUNTA(Tuan_02!B5:B29)</f>
        <v/>
      </c>
      <c r="H5" s="11">
        <f>COUNTIF(Tuan_02!H5:H29,"P0")</f>
        <v/>
      </c>
      <c r="I5" s="11">
        <f>COUNTIF(Tuan_02!J5:J29,"Xong")</f>
        <v/>
      </c>
      <c r="J5" s="11">
        <f>COUNTIF(Tuan_02!J5:J29,"Đang làm")</f>
        <v/>
      </c>
      <c r="K5" s="11">
        <f>COUNTIF(Tuan_02!J5:J29,"Vướng")</f>
        <v/>
      </c>
      <c r="L5" s="12">
        <f>IFERROR(I5/G5,0)</f>
        <v/>
      </c>
    </row>
    <row r="6">
      <c r="A6" s="7" t="n">
        <v>3</v>
      </c>
      <c r="B6" s="8" t="inlineStr">
        <is>
          <t>Tuan_03</t>
        </is>
      </c>
      <c r="C6" s="9" t="n">
        <v>46314</v>
      </c>
      <c r="D6" s="9" t="n">
        <v>46320</v>
      </c>
      <c r="E6" s="7" t="n">
        <v>1</v>
      </c>
      <c r="F6" s="10" t="inlineStr">
        <is>
          <t>SSR danh mục + title/meta/H1 toàn site</t>
        </is>
      </c>
      <c r="G6" s="11">
        <f>COUNTA(Tuan_03!B5:B30)</f>
        <v/>
      </c>
      <c r="H6" s="11">
        <f>COUNTIF(Tuan_03!H5:H30,"P0")</f>
        <v/>
      </c>
      <c r="I6" s="11">
        <f>COUNTIF(Tuan_03!J5:J30,"Xong")</f>
        <v/>
      </c>
      <c r="J6" s="11">
        <f>COUNTIF(Tuan_03!J5:J30,"Đang làm")</f>
        <v/>
      </c>
      <c r="K6" s="11">
        <f>COUNTIF(Tuan_03!J5:J30,"Vướng")</f>
        <v/>
      </c>
      <c r="L6" s="12">
        <f>IFERROR(I6/G6,0)</f>
        <v/>
      </c>
    </row>
    <row r="7">
      <c r="A7" s="7" t="n">
        <v>4</v>
      </c>
      <c r="B7" s="8" t="inlineStr">
        <is>
          <t>Tuan_04</t>
        </is>
      </c>
      <c r="C7" s="9" t="n">
        <v>46321</v>
      </c>
      <c r="D7" s="9" t="n">
        <v>46327</v>
      </c>
      <c r="E7" s="7" t="n">
        <v>1</v>
      </c>
      <c r="F7" s="10" t="inlineStr">
        <is>
          <t>Pháp lý, tin cậy + tổng kết tháng 1</t>
        </is>
      </c>
      <c r="G7" s="11">
        <f>COUNTA(Tuan_04!B5:B29)</f>
        <v/>
      </c>
      <c r="H7" s="11">
        <f>COUNTIF(Tuan_04!H5:H29,"P0")</f>
        <v/>
      </c>
      <c r="I7" s="11">
        <f>COUNTIF(Tuan_04!J5:J29,"Xong")</f>
        <v/>
      </c>
      <c r="J7" s="11">
        <f>COUNTIF(Tuan_04!J5:J29,"Đang làm")</f>
        <v/>
      </c>
      <c r="K7" s="11">
        <f>COUNTIF(Tuan_04!J5:J29,"Vướng")</f>
        <v/>
      </c>
      <c r="L7" s="12">
        <f>IFERROR(I7/G7,0)</f>
        <v/>
      </c>
    </row>
    <row r="8">
      <c r="A8" s="7" t="n">
        <v>5</v>
      </c>
      <c r="B8" s="8" t="inlineStr">
        <is>
          <t>Tuan_05</t>
        </is>
      </c>
      <c r="C8" s="9" t="n">
        <v>46328</v>
      </c>
      <c r="D8" s="9" t="n">
        <v>46334</v>
      </c>
      <c r="E8" s="7" t="n">
        <v>2</v>
      </c>
      <c r="F8" s="10" t="inlineStr">
        <is>
          <t>URL tiếng Việt + 301</t>
        </is>
      </c>
      <c r="G8" s="11">
        <f>COUNTA(Tuan_05!B5:B28)</f>
        <v/>
      </c>
      <c r="H8" s="11">
        <f>COUNTIF(Tuan_05!H5:H28,"P0")</f>
        <v/>
      </c>
      <c r="I8" s="11">
        <f>COUNTIF(Tuan_05!J5:J28,"Xong")</f>
        <v/>
      </c>
      <c r="J8" s="11">
        <f>COUNTIF(Tuan_05!J5:J28,"Đang làm")</f>
        <v/>
      </c>
      <c r="K8" s="11">
        <f>COUNTIF(Tuan_05!J5:J28,"Vướng")</f>
        <v/>
      </c>
      <c r="L8" s="12">
        <f>IFERROR(I8/G8,0)</f>
        <v/>
      </c>
    </row>
    <row r="9">
      <c r="A9" s="7" t="n">
        <v>6</v>
      </c>
      <c r="B9" s="8" t="inlineStr">
        <is>
          <t>Tuan_06</t>
        </is>
      </c>
      <c r="C9" s="9" t="n">
        <v>46335</v>
      </c>
      <c r="D9" s="9" t="n">
        <v>46341</v>
      </c>
      <c r="E9" s="7" t="n">
        <v>2</v>
      </c>
      <c r="F9" s="10" t="inlineStr">
        <is>
          <t>Schema (dữ liệu có cấu trúc)</t>
        </is>
      </c>
      <c r="G9" s="11">
        <f>COUNTA(Tuan_06!B5:B28)</f>
        <v/>
      </c>
      <c r="H9" s="11">
        <f>COUNTIF(Tuan_06!H5:H28,"P0")</f>
        <v/>
      </c>
      <c r="I9" s="11">
        <f>COUNTIF(Tuan_06!J5:J28,"Xong")</f>
        <v/>
      </c>
      <c r="J9" s="11">
        <f>COUNTIF(Tuan_06!J5:J28,"Đang làm")</f>
        <v/>
      </c>
      <c r="K9" s="11">
        <f>COUNTIF(Tuan_06!J5:J28,"Vướng")</f>
        <v/>
      </c>
      <c r="L9" s="12">
        <f>IFERROR(I9/G9,0)</f>
        <v/>
      </c>
    </row>
    <row r="10">
      <c r="A10" s="7" t="n">
        <v>7</v>
      </c>
      <c r="B10" s="8" t="inlineStr">
        <is>
          <t>Tuan_07</t>
        </is>
      </c>
      <c r="C10" s="9" t="n">
        <v>46342</v>
      </c>
      <c r="D10" s="9" t="n">
        <v>46348</v>
      </c>
      <c r="E10" s="7" t="n">
        <v>2</v>
      </c>
      <c r="F10" s="10" t="inlineStr">
        <is>
          <t>Sitemap, menu, nội dung danh mục</t>
        </is>
      </c>
      <c r="G10" s="11">
        <f>COUNTA(Tuan_07!B5:B28)</f>
        <v/>
      </c>
      <c r="H10" s="11">
        <f>COUNTIF(Tuan_07!H5:H28,"P0")</f>
        <v/>
      </c>
      <c r="I10" s="11">
        <f>COUNTIF(Tuan_07!J5:J28,"Xong")</f>
        <v/>
      </c>
      <c r="J10" s="11">
        <f>COUNTIF(Tuan_07!J5:J28,"Đang làm")</f>
        <v/>
      </c>
      <c r="K10" s="11">
        <f>COUNTIF(Tuan_07!J5:J28,"Vướng")</f>
        <v/>
      </c>
      <c r="L10" s="12">
        <f>IFERROR(I10/G10,0)</f>
        <v/>
      </c>
    </row>
    <row r="11">
      <c r="A11" s="7" t="n">
        <v>8</v>
      </c>
      <c r="B11" s="8" t="inlineStr">
        <is>
          <t>Tuan_08</t>
        </is>
      </c>
      <c r="C11" s="9" t="n">
        <v>46349</v>
      </c>
      <c r="D11" s="9" t="n">
        <v>46355</v>
      </c>
      <c r="E11" s="7" t="n">
        <v>2</v>
      </c>
      <c r="F11" s="10" t="inlineStr">
        <is>
          <t>Merchant Center + tổng kết tháng 2</t>
        </is>
      </c>
      <c r="G11" s="11">
        <f>COUNTA(Tuan_08!B5:B27)</f>
        <v/>
      </c>
      <c r="H11" s="11">
        <f>COUNTIF(Tuan_08!H5:H27,"P0")</f>
        <v/>
      </c>
      <c r="I11" s="11">
        <f>COUNTIF(Tuan_08!J5:J27,"Xong")</f>
        <v/>
      </c>
      <c r="J11" s="11">
        <f>COUNTIF(Tuan_08!J5:J27,"Đang làm")</f>
        <v/>
      </c>
      <c r="K11" s="11">
        <f>COUNTIF(Tuan_08!J5:J27,"Vướng")</f>
        <v/>
      </c>
      <c r="L11" s="12">
        <f>IFERROR(I11/G11,0)</f>
        <v/>
      </c>
    </row>
    <row r="12">
      <c r="A12" s="7" t="n">
        <v>9</v>
      </c>
      <c r="B12" s="8" t="inlineStr">
        <is>
          <t>Tuan_09</t>
        </is>
      </c>
      <c r="C12" s="9" t="n">
        <v>46356</v>
      </c>
      <c r="D12" s="9" t="n">
        <v>46362</v>
      </c>
      <c r="E12" s="7" t="n">
        <v>3</v>
      </c>
      <c r="F12" s="10" t="inlineStr">
        <is>
          <t>Tốc độ: tối ưu ảnh</t>
        </is>
      </c>
      <c r="G12" s="11">
        <f>COUNTA(Tuan_09!B5:B28)</f>
        <v/>
      </c>
      <c r="H12" s="11">
        <f>COUNTIF(Tuan_09!H5:H28,"P0")</f>
        <v/>
      </c>
      <c r="I12" s="11">
        <f>COUNTIF(Tuan_09!J5:J28,"Xong")</f>
        <v/>
      </c>
      <c r="J12" s="11">
        <f>COUNTIF(Tuan_09!J5:J28,"Đang làm")</f>
        <v/>
      </c>
      <c r="K12" s="11">
        <f>COUNTIF(Tuan_09!J5:J28,"Vướng")</f>
        <v/>
      </c>
      <c r="L12" s="12">
        <f>IFERROR(I12/G12,0)</f>
        <v/>
      </c>
    </row>
    <row r="13">
      <c r="A13" s="7" t="n">
        <v>10</v>
      </c>
      <c r="B13" s="8" t="inlineStr">
        <is>
          <t>Tuan_10</t>
        </is>
      </c>
      <c r="C13" s="9" t="n">
        <v>46363</v>
      </c>
      <c r="D13" s="9" t="n">
        <v>46369</v>
      </c>
      <c r="E13" s="7" t="n">
        <v>3</v>
      </c>
      <c r="F13" s="10" t="inlineStr">
        <is>
          <t>Tốc độ: render-blocking + đo lại</t>
        </is>
      </c>
      <c r="G13" s="11">
        <f>COUNTA(Tuan_10!B5:B28)</f>
        <v/>
      </c>
      <c r="H13" s="11">
        <f>COUNTIF(Tuan_10!H5:H28,"P0")</f>
        <v/>
      </c>
      <c r="I13" s="11">
        <f>COUNTIF(Tuan_10!J5:J28,"Xong")</f>
        <v/>
      </c>
      <c r="J13" s="11">
        <f>COUNTIF(Tuan_10!J5:J28,"Đang làm")</f>
        <v/>
      </c>
      <c r="K13" s="11">
        <f>COUNTIF(Tuan_10!J5:J28,"Vướng")</f>
        <v/>
      </c>
      <c r="L13" s="12">
        <f>IFERROR(I13/G13,0)</f>
        <v/>
      </c>
    </row>
    <row r="14">
      <c r="A14" s="7" t="n">
        <v>11</v>
      </c>
      <c r="B14" s="8" t="inlineStr">
        <is>
          <t>Tuan_11</t>
        </is>
      </c>
      <c r="C14" s="9" t="n">
        <v>46370</v>
      </c>
      <c r="D14" s="9" t="n">
        <v>46376</v>
      </c>
      <c r="E14" s="7" t="n">
        <v>3</v>
      </c>
      <c r="F14" s="10" t="inlineStr">
        <is>
          <t>Nội dung trang bán hàng</t>
        </is>
      </c>
      <c r="G14" s="11">
        <f>COUNTA(Tuan_11!B5:B27)</f>
        <v/>
      </c>
      <c r="H14" s="11">
        <f>COUNTIF(Tuan_11!H5:H27,"P0")</f>
        <v/>
      </c>
      <c r="I14" s="11">
        <f>COUNTIF(Tuan_11!J5:J27,"Xong")</f>
        <v/>
      </c>
      <c r="J14" s="11">
        <f>COUNTIF(Tuan_11!J5:J27,"Đang làm")</f>
        <v/>
      </c>
      <c r="K14" s="11">
        <f>COUNTIF(Tuan_11!J5:J27,"Vướng")</f>
        <v/>
      </c>
      <c r="L14" s="12">
        <f>IFERROR(I14/G14,0)</f>
        <v/>
      </c>
    </row>
    <row r="15">
      <c r="A15" s="7" t="n">
        <v>12</v>
      </c>
      <c r="B15" s="8" t="inlineStr">
        <is>
          <t>Tuan_12</t>
        </is>
      </c>
      <c r="C15" s="9" t="n">
        <v>46377</v>
      </c>
      <c r="D15" s="9" t="n">
        <v>46383</v>
      </c>
      <c r="E15" s="7" t="n">
        <v>3</v>
      </c>
      <c r="F15" s="10" t="inlineStr">
        <is>
          <t>Uy tín + nghiệm thu giai đoạn sửa website</t>
        </is>
      </c>
      <c r="G15" s="11">
        <f>COUNTA(Tuan_12!B5:B28)</f>
        <v/>
      </c>
      <c r="H15" s="11">
        <f>COUNTIF(Tuan_12!H5:H28,"P0")</f>
        <v/>
      </c>
      <c r="I15" s="11">
        <f>COUNTIF(Tuan_12!J5:J28,"Xong")</f>
        <v/>
      </c>
      <c r="J15" s="11">
        <f>COUNTIF(Tuan_12!J5:J28,"Đang làm")</f>
        <v/>
      </c>
      <c r="K15" s="11">
        <f>COUNTIF(Tuan_12!J5:J28,"Vướng")</f>
        <v/>
      </c>
      <c r="L15" s="12">
        <f>IFERROR(I15/G15,0)</f>
        <v/>
      </c>
    </row>
    <row r="16">
      <c r="A16" s="13" t="inlineStr">
        <is>
          <t>Tổng</t>
        </is>
      </c>
      <c r="B16" s="14" t="n"/>
      <c r="C16" s="14" t="n"/>
      <c r="D16" s="14" t="n"/>
      <c r="E16" s="14" t="n"/>
      <c r="F16" s="14" t="n"/>
      <c r="G16" s="13">
        <f>SUM(G4:G15)</f>
        <v/>
      </c>
      <c r="H16" s="13">
        <f>SUM(H4:H15)</f>
        <v/>
      </c>
      <c r="I16" s="13">
        <f>SUM(I4:I15)</f>
        <v/>
      </c>
      <c r="J16" s="13">
        <f>SUM(J4:J15)</f>
        <v/>
      </c>
      <c r="K16" s="13">
        <f>SUM(K4:K15)</f>
        <v/>
      </c>
      <c r="L16" s="15">
        <f>IFERROR(I16/G16,0)</f>
        <v/>
      </c>
    </row>
    <row r="18">
      <c r="A18" s="16" t="inlineStr">
        <is>
          <t>Sheet này tự tính từ cột Trạng thái của từng sheet tuần. Số màu xanh lá là công thức lấy từ sheet khác.</t>
        </is>
      </c>
    </row>
  </sheetData>
  <conditionalFormatting sqref="L4:L15">
    <cfRule type="dataBar" priority="1">
      <dataBar>
        <cfvo type="num" val="0"/>
        <cfvo type="num" val="1"/>
        <color rgb="002D6A4F"/>
      </dataBar>
    </cfRule>
  </conditionalFormatting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34" customWidth="1" min="4" max="4"/>
    <col width="62" customWidth="1" min="5" max="5"/>
    <col width="30" customWidth="1" min="6" max="6"/>
    <col width="15" customWidth="1" min="7" max="7"/>
    <col width="8" customWidth="1" min="8" max="8"/>
    <col width="11" customWidth="1" min="9" max="9"/>
    <col width="12" customWidth="1" min="10" max="10"/>
    <col width="34" customWidth="1" min="11" max="11"/>
    <col width="24" customWidth="1" min="12" max="12"/>
    <col width="11" customWidth="1" min="13" max="13"/>
    <col width="30" customWidth="1" min="14" max="14"/>
  </cols>
  <sheetData>
    <row r="1">
      <c r="A1" s="5" t="inlineStr">
        <is>
          <t>Tuần 1 (05/10 – 11/10/2026) · Tháng 1: Đo lường + kiểm tra nền + sửa lỗi kỹ thuật nhỏ</t>
        </is>
      </c>
    </row>
    <row r="2">
      <c r="A2" s="17" t="inlineStr">
        <is>
          <t>Tiến độ:</t>
        </is>
      </c>
      <c r="C2" s="18">
        <f>IFERROR(COUNTIF(J5:J39,"Xong")/COUNTA(B5:B39),0)</f>
        <v/>
      </c>
      <c r="D2" s="19">
        <f>COUNTIF(J5:J39,"Xong")&amp;" / "&amp;COUNTA(B5:B39)&amp;" task xong · "&amp;COUNTIF(J5:J39,"Vướng")&amp;" task vướng"</f>
        <v/>
      </c>
    </row>
    <row r="4" ht="30" customHeight="1">
      <c r="A4" s="6" t="inlineStr">
        <is>
          <t>STT</t>
        </is>
      </c>
      <c r="B4" s="6" t="inlineStr">
        <is>
          <t>Mã task</t>
        </is>
      </c>
      <c r="C4" s="6" t="inlineStr">
        <is>
          <t>Hạng mục</t>
        </is>
      </c>
      <c r="D4" s="6" t="inlineStr">
        <is>
          <t>Đầu việc</t>
        </is>
      </c>
      <c r="E4" s="6" t="inlineStr">
        <is>
          <t>Các bước thực hiện</t>
        </is>
      </c>
      <c r="F4" s="6" t="inlineStr">
        <is>
          <t>URL / phạm vi</t>
        </is>
      </c>
      <c r="G4" s="6" t="inlineStr">
        <is>
          <t>Phụ trách</t>
        </is>
      </c>
      <c r="H4" s="6" t="inlineStr">
        <is>
          <t>Ưu tiên</t>
        </is>
      </c>
      <c r="I4" s="6" t="inlineStr">
        <is>
          <t>Hạn chót</t>
        </is>
      </c>
      <c r="J4" s="6" t="inlineStr">
        <is>
          <t>Trạng thái</t>
        </is>
      </c>
      <c r="K4" s="6" t="inlineStr">
        <is>
          <t>Tiêu chí hoàn thành</t>
        </is>
      </c>
      <c r="L4" s="6" t="inlineStr">
        <is>
          <t>Nguồn</t>
        </is>
      </c>
      <c r="M4" s="6" t="inlineStr">
        <is>
          <t>Ngày xong</t>
        </is>
      </c>
      <c r="N4" s="6" t="inlineStr">
        <is>
          <t>Ghi chú / link bằng chứng</t>
        </is>
      </c>
    </row>
    <row r="5" ht="105" customHeight="1">
      <c r="A5" s="20" t="n">
        <v>1</v>
      </c>
      <c r="B5" s="20" t="inlineStr">
        <is>
          <t>W01-01</t>
        </is>
      </c>
      <c r="C5" s="20" t="inlineStr">
        <is>
          <t>Đo lường</t>
        </is>
      </c>
      <c r="D5" s="21" t="inlineStr">
        <is>
          <t>Google Search Console: cấp quyền và thêm property Domain</t>
        </is>
      </c>
      <c r="E5" s="20" t="inlineStr">
        <is>
          <t>1. Audit ghi nhận GSC đã xác minh → hỏi chủ shop tài khoản nào đang là Owner.
2. Settings → Users and permissions → Add user: email team SEO, quyền Full.
3. Nếu mới chỉ có property URL-prefix: tạo thêm property Domain 'caretta.vn' (thêm bản ghi TXT vào DNS).
4. Chụp màn hình trang Users để lưu.</t>
        </is>
      </c>
      <c r="F5" s="20" t="inlineStr">
        <is>
          <t>caretta.vn</t>
        </is>
      </c>
      <c r="G5" s="22" t="inlineStr">
        <is>
          <t>Chủ shop + SEO</t>
        </is>
      </c>
      <c r="H5" s="23" t="inlineStr">
        <is>
          <t>P0</t>
        </is>
      </c>
      <c r="I5" s="24" t="n">
        <v>46301</v>
      </c>
      <c r="J5" s="22" t="inlineStr">
        <is>
          <t>Chưa làm</t>
        </is>
      </c>
      <c r="K5" s="20" t="inlineStr">
        <is>
          <t>Team SEO đăng nhập GSC thấy dữ liệu caretta.vn; property Domain trạng thái Verified</t>
        </is>
      </c>
      <c r="L5" s="20" t="inlineStr">
        <is>
          <t>Strategy 09_KPI (baseline cần GSC)</t>
        </is>
      </c>
      <c r="M5" s="24" t="n"/>
      <c r="N5" s="22" t="n"/>
    </row>
    <row r="6" ht="105" customHeight="1">
      <c r="A6" s="20" t="n">
        <v>2</v>
      </c>
      <c r="B6" s="20" t="inlineStr">
        <is>
          <t>W01-02</t>
        </is>
      </c>
      <c r="C6" s="20" t="inlineStr">
        <is>
          <t>Đo lường</t>
        </is>
      </c>
      <c r="D6" s="21" t="inlineStr">
        <is>
          <t>Search Console: gửi sitemap và lấy số liệu nền (baseline)</t>
        </is>
      </c>
      <c r="E6" s="20" t="inlineStr">
        <is>
          <t>1. Sitemaps → gửi https://caretta.vn/sitemap.xml.
2. Pages (Trang): ghi số URL Indexed / Not indexed và lý do (Duplicate, Alternate canonical, Soft 404...).
3. Performance 3 tháng gần nhất: ghi tổng Click, Impression, CTR, vị trí TB; xuất top 50 truy vấn.
4. Điền baseline vào sheet 09_KPI của file chiến lược.</t>
        </is>
      </c>
      <c r="F6" s="20" t="inlineStr">
        <is>
          <t>sitemap.xml, báo cáo Pages, Performance</t>
        </is>
      </c>
      <c r="G6" s="22" t="inlineStr">
        <is>
          <t>SEO</t>
        </is>
      </c>
      <c r="H6" s="23" t="inlineStr">
        <is>
          <t>P0</t>
        </is>
      </c>
      <c r="I6" s="24" t="n">
        <v>46302</v>
      </c>
      <c r="J6" s="22" t="inlineStr">
        <is>
          <t>Chưa làm</t>
        </is>
      </c>
      <c r="K6" s="20" t="inlineStr">
        <is>
          <t>Sitemap trạng thái Success; baseline index/click/impression đã điền</t>
        </is>
      </c>
      <c r="L6" s="20" t="inlineStr">
        <is>
          <t>Strategy 09_KPI</t>
        </is>
      </c>
      <c r="M6" s="24" t="n"/>
      <c r="N6" s="22" t="n"/>
    </row>
    <row r="7" ht="135" customHeight="1">
      <c r="A7" s="20" t="n">
        <v>3</v>
      </c>
      <c r="B7" s="20" t="inlineStr">
        <is>
          <t>W01-03</t>
        </is>
      </c>
      <c r="C7" s="20" t="inlineStr">
        <is>
          <t>Đo lường</t>
        </is>
      </c>
      <c r="D7" s="21" t="inlineStr">
        <is>
          <t>Firebase + GA4: tạo project và gắn mã theo dõi</t>
        </is>
      </c>
      <c r="E7" s="20" t="inlineStr">
        <is>
          <t>1. console.firebase.google.com → Add project 'caretta-web' → bật Google Analytics (tạo GA4 property, múi giờ VN, tiền tệ VND).
2. Project settings → Add app → Web → lấy firebaseConfig.
3. Dev cài Firebase SDK (getAnalytics) hoặc gtag.js với cùng Measurement ID G-XXXX vào toàn site.
4. GA4 → Data streams → bật Enhanced measurement.
5. Kiểm tra realtime / DebugView thấy page_view.</t>
        </is>
      </c>
      <c r="F7" s="20" t="inlineStr">
        <is>
          <t>Toàn site</t>
        </is>
      </c>
      <c r="G7" s="22" t="inlineStr">
        <is>
          <t>Dev + SEO</t>
        </is>
      </c>
      <c r="H7" s="23" t="inlineStr">
        <is>
          <t>P0</t>
        </is>
      </c>
      <c r="I7" s="24" t="n">
        <v>46302</v>
      </c>
      <c r="J7" s="22" t="inlineStr">
        <is>
          <t>Chưa làm</t>
        </is>
      </c>
      <c r="K7" s="20" t="inlineStr">
        <is>
          <t>GA4 Realtime thấy lượt truy cập; chỉ 1 mã đo (không cài trùng)</t>
        </is>
      </c>
      <c r="L7" s="20" t="inlineStr">
        <is>
          <t>Strategy 07_Roadmap T1: GSC + GA4 đã gắn</t>
        </is>
      </c>
      <c r="M7" s="24" t="n"/>
      <c r="N7" s="22" t="n"/>
    </row>
    <row r="8" ht="90" customHeight="1">
      <c r="A8" s="20" t="n">
        <v>4</v>
      </c>
      <c r="B8" s="20" t="inlineStr">
        <is>
          <t>W01-04</t>
        </is>
      </c>
      <c r="C8" s="20" t="inlineStr">
        <is>
          <t>Đo lường</t>
        </is>
      </c>
      <c r="D8" s="21" t="inlineStr">
        <is>
          <t>GA4: cài sự kiện thương mại điện tử</t>
        </is>
      </c>
      <c r="E8" s="20" t="inlineStr">
        <is>
          <t>1. Bắn view_item (trang sản phẩm), add_to_cart, begin_checkout, purchase (có value, currency=VND, items).
2. Đánh dấu purchase là Key event (chuyển đổi).
3. Đặt thêm sự kiện click_zalo, click_hotline.
4. Test bằng DebugView với 1 đơn thử.</t>
        </is>
      </c>
      <c r="F8" s="20" t="inlineStr">
        <is>
          <t>Trang sản phẩm, giỏ hàng, thanh toán</t>
        </is>
      </c>
      <c r="G8" s="22" t="inlineStr">
        <is>
          <t>Dev</t>
        </is>
      </c>
      <c r="H8" s="23" t="inlineStr">
        <is>
          <t>P0</t>
        </is>
      </c>
      <c r="I8" s="24" t="n">
        <v>46304</v>
      </c>
      <c r="J8" s="22" t="inlineStr">
        <is>
          <t>Chưa làm</t>
        </is>
      </c>
      <c r="K8" s="20" t="inlineStr">
        <is>
          <t>DebugView thấy đủ 4 sự kiện kèm giá trị VND</t>
        </is>
      </c>
      <c r="L8" s="20" t="inlineStr">
        <is>
          <t>Strategy 09_KPI (đơn hàng, doanh thu organic)</t>
        </is>
      </c>
      <c r="M8" s="24" t="n"/>
      <c r="N8" s="22" t="n"/>
    </row>
    <row r="9" ht="45" customHeight="1">
      <c r="A9" s="20" t="n">
        <v>5</v>
      </c>
      <c r="B9" s="20" t="inlineStr">
        <is>
          <t>W01-05</t>
        </is>
      </c>
      <c r="C9" s="20" t="inlineStr">
        <is>
          <t>Đo lường</t>
        </is>
      </c>
      <c r="D9" s="21" t="inlineStr">
        <is>
          <t>Liên kết GA4 với Search Console</t>
        </is>
      </c>
      <c r="E9" s="20" t="inlineStr">
        <is>
          <t>GA4 Admin → Product links → Search Console links → chọn property caretta.vn → web stream. Bật bộ báo cáo Search Console trong Library.</t>
        </is>
      </c>
      <c r="F9" s="20" t="inlineStr">
        <is>
          <t>GA4 + GSC</t>
        </is>
      </c>
      <c r="G9" s="22" t="inlineStr">
        <is>
          <t>SEO</t>
        </is>
      </c>
      <c r="H9" s="20" t="inlineStr">
        <is>
          <t>P1</t>
        </is>
      </c>
      <c r="I9" s="24" t="n">
        <v>46304</v>
      </c>
      <c r="J9" s="22" t="inlineStr">
        <is>
          <t>Chưa làm</t>
        </is>
      </c>
      <c r="K9" s="20" t="inlineStr">
        <is>
          <t>Báo cáo Queries trong GA4 có dữ liệu sau 48h</t>
        </is>
      </c>
      <c r="L9" s="20" t="inlineStr"/>
      <c r="M9" s="24" t="n"/>
      <c r="N9" s="22" t="n"/>
    </row>
    <row r="10" ht="105" customHeight="1">
      <c r="A10" s="20" t="n">
        <v>6</v>
      </c>
      <c r="B10" s="20" t="inlineStr">
        <is>
          <t>W01-06</t>
        </is>
      </c>
      <c r="C10" s="20" t="inlineStr">
        <is>
          <t>PageSpeed</t>
        </is>
      </c>
      <c r="D10" s="21" t="inlineStr">
        <is>
          <t>Đo PageSpeed bản Mobile cho 5 trang mẫu</t>
        </is>
      </c>
      <c r="E10" s="20" t="inlineStr">
        <is>
          <t>1. Vào https://pagespeed.web.dev/ → nhập từng URL → tab Mobile.
2. Ghi: điểm Performance, LCP, FCP, CLS, TBT, Speed Index, dữ liệu CrUX (nếu có) vào sheet PageSpeed_Log.
3. Chụp màn hình phần Diagnostics/Opportunities (ảnh nặng, render-blocking...).
4. Ghi tab Accessibility, Best Practices, SEO.</t>
        </is>
      </c>
      <c r="F10" s="20" t="inlineStr">
        <is>
          <t>/, /products, /women, /products/ao-phao-boi-khop-dong-caretta-challenger-light, /lo-trinh-hoc-boi</t>
        </is>
      </c>
      <c r="G10" s="22" t="inlineStr">
        <is>
          <t>SEO</t>
        </is>
      </c>
      <c r="H10" s="23" t="inlineStr">
        <is>
          <t>P0</t>
        </is>
      </c>
      <c r="I10" s="24" t="n">
        <v>46301</v>
      </c>
      <c r="J10" s="22" t="inlineStr">
        <is>
          <t>Chưa làm</t>
        </is>
      </c>
      <c r="K10" s="20" t="inlineStr">
        <is>
          <t>Đủ 5 dòng Mobile trong PageSpeed_Log, có ảnh chụp</t>
        </is>
      </c>
      <c r="L10" s="20" t="inlineStr">
        <is>
          <t>Audit mục 2 Hiệu năng</t>
        </is>
      </c>
      <c r="M10" s="24" t="n"/>
      <c r="N10" s="22" t="n"/>
    </row>
    <row r="11" ht="45" customHeight="1">
      <c r="A11" s="20" t="n">
        <v>7</v>
      </c>
      <c r="B11" s="20" t="inlineStr">
        <is>
          <t>W01-07</t>
        </is>
      </c>
      <c r="C11" s="20" t="inlineStr">
        <is>
          <t>PageSpeed</t>
        </is>
      </c>
      <c r="D11" s="21" t="inlineStr">
        <is>
          <t>Đo PageSpeed bản Desktop cho 5 trang mẫu</t>
        </is>
      </c>
      <c r="E11" s="20" t="inlineStr">
        <is>
          <t>Cùng 5 URL, chọn tab Desktop. Ghi các chỉ số như bản Mobile vào PageSpeed_Log. So sánh chênh lệch Mobile/Desktop.</t>
        </is>
      </c>
      <c r="F11" s="20" t="inlineStr">
        <is>
          <t>5 URL như trên</t>
        </is>
      </c>
      <c r="G11" s="22" t="inlineStr">
        <is>
          <t>SEO</t>
        </is>
      </c>
      <c r="H11" s="23" t="inlineStr">
        <is>
          <t>P0</t>
        </is>
      </c>
      <c r="I11" s="24" t="n">
        <v>46301</v>
      </c>
      <c r="J11" s="22" t="inlineStr">
        <is>
          <t>Chưa làm</t>
        </is>
      </c>
      <c r="K11" s="20" t="inlineStr">
        <is>
          <t>Đủ 5 dòng Desktop trong PageSpeed_Log</t>
        </is>
      </c>
      <c r="L11" s="20" t="inlineStr">
        <is>
          <t>Audit mục 2 Hiệu năng</t>
        </is>
      </c>
      <c r="M11" s="24" t="n"/>
      <c r="N11" s="22" t="n"/>
    </row>
    <row r="12" ht="120" customHeight="1">
      <c r="A12" s="20" t="n">
        <v>8</v>
      </c>
      <c r="B12" s="20" t="inlineStr">
        <is>
          <t>W01-08</t>
        </is>
      </c>
      <c r="C12" s="20" t="inlineStr">
        <is>
          <t>Mobile</t>
        </is>
      </c>
      <c r="D12" s="21" t="inlineStr">
        <is>
          <t>Kiểm tra lỗi hiển thị trên điện thoại</t>
        </is>
      </c>
      <c r="E12" s="20" t="inlineStr">
        <is>
          <t>1. Chrome DevTools → Toggle device (iPhone SE 375px, iPhone 14, Galaxy) + 1 máy thật.
2. Kiểm tra: tràn ngang, chữ &lt; 12px, nút bấm quá sát (&lt; 48px), menu, popup che nội dung, form thanh toán, nút Zalo.
3. Trong PageSpeed mục SEO/Accessibility: xem lỗi tap targets, viewport, font-size.
4. Ghi từng lỗi kèm ảnh chụp vào cột Ghi chú/link Drive.</t>
        </is>
      </c>
      <c r="F12" s="20" t="inlineStr">
        <is>
          <t>Trang chủ, danh mục, sản phẩm, giỏ hàng, thanh toán</t>
        </is>
      </c>
      <c r="G12" s="22" t="inlineStr">
        <is>
          <t>SEO</t>
        </is>
      </c>
      <c r="H12" s="23" t="inlineStr">
        <is>
          <t>P0</t>
        </is>
      </c>
      <c r="I12" s="24" t="n">
        <v>46303</v>
      </c>
      <c r="J12" s="22" t="inlineStr">
        <is>
          <t>Chưa làm</t>
        </is>
      </c>
      <c r="K12" s="20" t="inlineStr">
        <is>
          <t>Danh sách lỗi mobile có ảnh, đã gửi Dev</t>
        </is>
      </c>
      <c r="L12" s="20" t="inlineStr">
        <is>
          <t>Audit mục 2, 3</t>
        </is>
      </c>
      <c r="M12" s="24" t="n"/>
      <c r="N12" s="22" t="n"/>
    </row>
    <row r="13" ht="45" customHeight="1">
      <c r="A13" s="20" t="n">
        <v>9</v>
      </c>
      <c r="B13" s="20" t="inlineStr">
        <is>
          <t>W01-09</t>
        </is>
      </c>
      <c r="C13" s="20" t="inlineStr">
        <is>
          <t>Kỹ thuật</t>
        </is>
      </c>
      <c r="D13" s="21" t="inlineStr">
        <is>
          <t>Logo tachnen.png 2,4 MB → SVG hoặc WebP &lt; 30 KB</t>
        </is>
      </c>
      <c r="E13" s="20" t="inlineStr">
        <is>
          <t>Xuất lại logo dạng SVG (ưu tiên) hoặc WebP 2x kích thước hiển thị. Thay ở header, footer, favicon riêng. Khai báo width/height.</t>
        </is>
      </c>
      <c r="F13" s="20" t="inlineStr">
        <is>
          <t>Toàn site</t>
        </is>
      </c>
      <c r="G13" s="22" t="inlineStr">
        <is>
          <t>Dev</t>
        </is>
      </c>
      <c r="H13" s="23" t="inlineStr">
        <is>
          <t>P0</t>
        </is>
      </c>
      <c r="I13" s="24" t="n">
        <v>46302</v>
      </c>
      <c r="J13" s="22" t="inlineStr">
        <is>
          <t>Chưa làm</t>
        </is>
      </c>
      <c r="K13" s="20" t="inlineStr">
        <is>
          <t>Tệp logo &lt; 30 KB (kiểm tra tab Network)</t>
        </is>
      </c>
      <c r="L13" s="20" t="inlineStr">
        <is>
          <t>Audit: 5 việc làm nhanh</t>
        </is>
      </c>
      <c r="M13" s="24" t="n"/>
      <c r="N13" s="22" t="n"/>
    </row>
    <row r="14" ht="60" customHeight="1">
      <c r="A14" s="20" t="n">
        <v>10</v>
      </c>
      <c r="B14" s="20" t="inlineStr">
        <is>
          <t>W01-10</t>
        </is>
      </c>
      <c r="C14" s="20" t="inlineStr">
        <is>
          <t>Kỹ thuật</t>
        </is>
      </c>
      <c r="D14" s="21" t="inlineStr">
        <is>
          <t>Trả 404 thật cho trang không tồn tại (soft 404)</t>
        </is>
      </c>
      <c r="E14" s="20" t="inlineStr">
        <is>
          <t>1. Route /products/:slug và /blog/:slug: tra slug trong DB, không có → status 404 + trang gợi ý sản phẩm.
2. /product_detail và /product_detail.html → 404/410, gỡ mọi link nội bộ trỏ tới.</t>
        </is>
      </c>
      <c r="F14" s="20" t="inlineStr">
        <is>
          <t>/products/khong-ton-tai-xyz, /blog/abc, /product_detail(.html)</t>
        </is>
      </c>
      <c r="G14" s="22" t="inlineStr">
        <is>
          <t>Dev</t>
        </is>
      </c>
      <c r="H14" s="23" t="inlineStr">
        <is>
          <t>P0</t>
        </is>
      </c>
      <c r="I14" s="24" t="n">
        <v>46304</v>
      </c>
      <c r="J14" s="22" t="inlineStr">
        <is>
          <t>Chưa làm</t>
        </is>
      </c>
      <c r="K14" s="20" t="inlineStr">
        <is>
          <t>curl -I trả 404 cho các URL thử</t>
        </is>
      </c>
      <c r="L14" s="20" t="inlineStr">
        <is>
          <t>Audit mục 1; Strategy U012, U013</t>
        </is>
      </c>
      <c r="M14" s="24" t="n"/>
      <c r="N14" s="22" t="n"/>
    </row>
    <row r="15" ht="60" customHeight="1">
      <c r="A15" s="20" t="n">
        <v>11</v>
      </c>
      <c r="B15" s="20" t="inlineStr">
        <is>
          <t>W01-11</t>
        </is>
      </c>
      <c r="C15" s="20" t="inlineStr">
        <is>
          <t>Kỹ thuật</t>
        </is>
      </c>
      <c r="D15" s="21" t="inlineStr">
        <is>
          <t>Noindex trang mỏng/placeholder và bỏ khỏi sitemap</t>
        </is>
      </c>
      <c r="E15" s="20" t="inlineStr">
        <is>
          <t>Thêm &lt;meta name="robots" content="noindex,follow"&gt; (render phía máy chủ) và xóa khỏi sitemap: /men (0 sản phẩm, ẩn khỏi menu/footer), /blog, /ve-chung-toi/phat-trien-ben-vung, /ve-chung-toi/tuyen-dung, /don-hang-cua-toi (+ Disallow trong robots.txt).</t>
        </is>
      </c>
      <c r="F15" s="20" t="inlineStr">
        <is>
          <t>5 URL</t>
        </is>
      </c>
      <c r="G15" s="22" t="inlineStr">
        <is>
          <t>Dev</t>
        </is>
      </c>
      <c r="H15" s="23" t="inlineStr">
        <is>
          <t>P0</t>
        </is>
      </c>
      <c r="I15" s="24" t="n">
        <v>46303</v>
      </c>
      <c r="J15" s="22" t="inlineStr">
        <is>
          <t>Chưa làm</t>
        </is>
      </c>
      <c r="K15" s="20" t="inlineStr">
        <is>
          <t>View-source có noindex; sitemap không còn 5 URL này</t>
        </is>
      </c>
      <c r="L15" s="20" t="inlineStr">
        <is>
          <t>Strategy U002, U004, U011, U030, U031</t>
        </is>
      </c>
      <c r="M15" s="24" t="n"/>
      <c r="N15" s="22" t="n"/>
    </row>
    <row r="16" ht="45" customHeight="1">
      <c r="A16" s="20" t="n">
        <v>12</v>
      </c>
      <c r="B16" s="20" t="inlineStr">
        <is>
          <t>W01-12</t>
        </is>
      </c>
      <c r="C16" s="20" t="inlineStr">
        <is>
          <t>Kỹ thuật</t>
        </is>
      </c>
      <c r="D16" s="21" t="inlineStr">
        <is>
          <t>Header bảo mật + tắt x-powered-by</t>
        </is>
      </c>
      <c r="E16" s="20" t="inlineStr">
        <is>
          <t>Express: app.disable('x-powered-by'); dùng middleware helmet (HSTS, X-Content-Type-Options, X-Frame-Options, Referrer-Policy). Kiểm tra CSP không chặn ảnh Supabase/Google Fonts.</t>
        </is>
      </c>
      <c r="F16" s="20" t="inlineStr">
        <is>
          <t>Máy chủ Express</t>
        </is>
      </c>
      <c r="G16" s="22" t="inlineStr">
        <is>
          <t>Dev</t>
        </is>
      </c>
      <c r="H16" s="20" t="inlineStr">
        <is>
          <t>P1</t>
        </is>
      </c>
      <c r="I16" s="24" t="n">
        <v>46304</v>
      </c>
      <c r="J16" s="22" t="inlineStr">
        <is>
          <t>Chưa làm</t>
        </is>
      </c>
      <c r="K16" s="20" t="inlineStr">
        <is>
          <t>securityheaders.com ≥ hạng B; không còn header x-powered-by</t>
        </is>
      </c>
      <c r="L16" s="20" t="inlineStr">
        <is>
          <t>Audit mục 1</t>
        </is>
      </c>
      <c r="M16" s="24" t="n"/>
      <c r="N16" s="22" t="n"/>
    </row>
    <row r="17" ht="45" customHeight="1">
      <c r="A17" s="20" t="n">
        <v>13</v>
      </c>
      <c r="B17" s="20" t="inlineStr">
        <is>
          <t>W01-13</t>
        </is>
      </c>
      <c r="C17" s="20" t="inlineStr">
        <is>
          <t>Kỹ thuật</t>
        </is>
      </c>
      <c r="D17" s="21" t="inlineStr">
        <is>
          <t>Sửa link chân trang trỏ '#'</t>
        </is>
      </c>
      <c r="E17" s="20" t="inlineStr">
        <is>
          <t>Gắn link thật Instagram, Facebook, TikTok. Bảo Mật/Điều Khoản: tạm trỏ tới trang sẽ làm ở tuần 4 (hoặc ẩn đến khi có).</t>
        </is>
      </c>
      <c r="F17" s="20" t="inlineStr">
        <is>
          <t>Footer</t>
        </is>
      </c>
      <c r="G17" s="22" t="inlineStr">
        <is>
          <t>Dev + Chủ shop</t>
        </is>
      </c>
      <c r="H17" s="20" t="inlineStr">
        <is>
          <t>P1</t>
        </is>
      </c>
      <c r="I17" s="24" t="n">
        <v>46304</v>
      </c>
      <c r="J17" s="22" t="inlineStr">
        <is>
          <t>Chưa làm</t>
        </is>
      </c>
      <c r="K17" s="20" t="inlineStr">
        <is>
          <t>Không còn href="#" ở footer</t>
        </is>
      </c>
      <c r="L17" s="20" t="inlineStr">
        <is>
          <t>Audit mục 3</t>
        </is>
      </c>
      <c r="M17" s="24" t="n"/>
      <c r="N17" s="22" t="n"/>
    </row>
    <row r="18" ht="90" customHeight="1">
      <c r="A18" s="20" t="n">
        <v>14</v>
      </c>
      <c r="B18" s="20" t="inlineStr">
        <is>
          <t>W01-14</t>
        </is>
      </c>
      <c r="C18" s="20" t="inlineStr">
        <is>
          <t>Kỹ thuật</t>
        </is>
      </c>
      <c r="D18" s="21" t="inlineStr">
        <is>
          <t>Lỗi nhỏ khác</t>
        </is>
      </c>
      <c r="E18" s="20" t="inlineStr">
        <is>
          <t>1. Sửa H1 dính chữ 'Học BơiCùng' ở /lo-trinh-hoc-boi.
2. Bỏ lỗi console 401 /api/auth/me khi khách chưa đăng nhập.
3. Sửa tên sản phẩm trong API: 'Lưc Nâng' → 'Lực Nâng'; 'CARETTA CHALLENGE' → 'CARÉTTA CHALLENGER'; xóa 2 dấu cách thừa ở Start Float.</t>
        </is>
      </c>
      <c r="F18" s="20" t="inlineStr">
        <is>
          <t>/lo-trinh-hoc-boi, API sản phẩm</t>
        </is>
      </c>
      <c r="G18" s="22" t="inlineStr">
        <is>
          <t>Dev</t>
        </is>
      </c>
      <c r="H18" s="20" t="inlineStr">
        <is>
          <t>P1</t>
        </is>
      </c>
      <c r="I18" s="24" t="n">
        <v>46304</v>
      </c>
      <c r="J18" s="22" t="inlineStr">
        <is>
          <t>Chưa làm</t>
        </is>
      </c>
      <c r="K18" s="20" t="inlineStr">
        <is>
          <t>Console sạch lỗi; tên sản phẩm đúng chính tả</t>
        </is>
      </c>
      <c r="L18" s="20" t="inlineStr">
        <is>
          <t>Audit mục 1; Strategy 00_Huong_Dan</t>
        </is>
      </c>
      <c r="M18" s="24" t="n"/>
      <c r="N18" s="22" t="n"/>
    </row>
    <row r="19" ht="75" customHeight="1">
      <c r="A19" s="20" t="n">
        <v>15</v>
      </c>
      <c r="B19" s="20" t="inlineStr">
        <is>
          <t>W01-15</t>
        </is>
      </c>
      <c r="C19" s="20" t="inlineStr">
        <is>
          <t>Kiểm tra</t>
        </is>
      </c>
      <c r="D19" s="21" t="inlineStr">
        <is>
          <t>Chụp lại trạng thái chia sẻ link và rich result (baseline)</t>
        </is>
      </c>
      <c r="E19" s="20" t="inlineStr">
        <is>
          <t>1. Facebook Sharing Debugger: dán 2 link sản phẩm, chụp kết quả (hiện đang ra 'Velocity Pro' + favicon).
2. Rich Results Test 1 trang sản phẩm (hiện 0 schema).
Lưu ảnh để so sánh sau tuần 3 và tuần 6.</t>
        </is>
      </c>
      <c r="F19" s="20" t="inlineStr">
        <is>
          <t>2 trang sản phẩm</t>
        </is>
      </c>
      <c r="G19" s="22" t="inlineStr">
        <is>
          <t>SEO</t>
        </is>
      </c>
      <c r="H19" s="20" t="inlineStr">
        <is>
          <t>P2</t>
        </is>
      </c>
      <c r="I19" s="24" t="n">
        <v>46305</v>
      </c>
      <c r="J19" s="22" t="inlineStr">
        <is>
          <t>Chưa làm</t>
        </is>
      </c>
      <c r="K19" s="20" t="inlineStr">
        <is>
          <t>Ảnh baseline lưu Drive</t>
        </is>
      </c>
      <c r="L19" s="20" t="inlineStr">
        <is>
          <t>Audit mục 3, 5</t>
        </is>
      </c>
      <c r="M19" s="24" t="n"/>
      <c r="N19" s="22" t="n"/>
    </row>
  </sheetData>
  <autoFilter ref="A4:N19"/>
  <conditionalFormatting sqref="A5:N39">
    <cfRule type="expression" priority="1" dxfId="0">
      <formula>$J5="Xong"</formula>
    </cfRule>
    <cfRule type="expression" priority="2" dxfId="1">
      <formula>$J5="Đang làm"</formula>
    </cfRule>
    <cfRule type="expression" priority="3" dxfId="2">
      <formula>$J5="Chờ duyệt"</formula>
    </cfRule>
    <cfRule type="expression" priority="4" dxfId="3">
      <formula>$J5="Vướng"</formula>
    </cfRule>
  </conditionalFormatting>
  <dataValidations count="2">
    <dataValidation sqref="J5:J39" showDropDown="0" showInputMessage="0" showErrorMessage="0" allowBlank="1" type="list">
      <formula1>"Chưa làm,Đang làm,Chờ duyệt,Xong,Vướng"</formula1>
    </dataValidation>
    <dataValidation sqref="H5:H39" showDropDown="0" showInputMessage="0" showErrorMessage="0" allowBlank="1" type="list">
      <formula1>"P0,P1,P2"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34" customWidth="1" min="4" max="4"/>
    <col width="62" customWidth="1" min="5" max="5"/>
    <col width="30" customWidth="1" min="6" max="6"/>
    <col width="15" customWidth="1" min="7" max="7"/>
    <col width="8" customWidth="1" min="8" max="8"/>
    <col width="11" customWidth="1" min="9" max="9"/>
    <col width="12" customWidth="1" min="10" max="10"/>
    <col width="34" customWidth="1" min="11" max="11"/>
    <col width="24" customWidth="1" min="12" max="12"/>
    <col width="11" customWidth="1" min="13" max="13"/>
    <col width="30" customWidth="1" min="14" max="14"/>
  </cols>
  <sheetData>
    <row r="1">
      <c r="A1" s="5" t="inlineStr">
        <is>
          <t>Tuần 2 (12/10 – 18/10/2026) · Tháng 1: Render phía máy chủ (SSR) trang sản phẩm</t>
        </is>
      </c>
    </row>
    <row r="2">
      <c r="A2" s="17" t="inlineStr">
        <is>
          <t>Tiến độ:</t>
        </is>
      </c>
      <c r="C2" s="18">
        <f>IFERROR(COUNTIF(J5:J29,"Xong")/COUNTA(B5:B29),0)</f>
        <v/>
      </c>
      <c r="D2" s="19">
        <f>COUNTIF(J5:J29,"Xong")&amp;" / "&amp;COUNTA(B5:B29)&amp;" task xong · "&amp;COUNTIF(J5:J29,"Vướng")&amp;" task vướng"</f>
        <v/>
      </c>
    </row>
    <row r="4" ht="30" customHeight="1">
      <c r="A4" s="6" t="inlineStr">
        <is>
          <t>STT</t>
        </is>
      </c>
      <c r="B4" s="6" t="inlineStr">
        <is>
          <t>Mã task</t>
        </is>
      </c>
      <c r="C4" s="6" t="inlineStr">
        <is>
          <t>Hạng mục</t>
        </is>
      </c>
      <c r="D4" s="6" t="inlineStr">
        <is>
          <t>Đầu việc</t>
        </is>
      </c>
      <c r="E4" s="6" t="inlineStr">
        <is>
          <t>Các bước thực hiện</t>
        </is>
      </c>
      <c r="F4" s="6" t="inlineStr">
        <is>
          <t>URL / phạm vi</t>
        </is>
      </c>
      <c r="G4" s="6" t="inlineStr">
        <is>
          <t>Phụ trách</t>
        </is>
      </c>
      <c r="H4" s="6" t="inlineStr">
        <is>
          <t>Ưu tiên</t>
        </is>
      </c>
      <c r="I4" s="6" t="inlineStr">
        <is>
          <t>Hạn chót</t>
        </is>
      </c>
      <c r="J4" s="6" t="inlineStr">
        <is>
          <t>Trạng thái</t>
        </is>
      </c>
      <c r="K4" s="6" t="inlineStr">
        <is>
          <t>Tiêu chí hoàn thành</t>
        </is>
      </c>
      <c r="L4" s="6" t="inlineStr">
        <is>
          <t>Nguồn</t>
        </is>
      </c>
      <c r="M4" s="6" t="inlineStr">
        <is>
          <t>Ngày xong</t>
        </is>
      </c>
      <c r="N4" s="6" t="inlineStr">
        <is>
          <t>Ghi chú / link bằng chứng</t>
        </is>
      </c>
    </row>
    <row r="5" ht="60" customHeight="1">
      <c r="A5" s="20" t="n">
        <v>1</v>
      </c>
      <c r="B5" s="20" t="inlineStr">
        <is>
          <t>W02-01</t>
        </is>
      </c>
      <c r="C5" s="20" t="inlineStr">
        <is>
          <t>Kỹ thuật</t>
        </is>
      </c>
      <c r="D5" s="21" t="inlineStr">
        <is>
          <t>SSR phần &lt;head&gt; cho 14 trang sản phẩm</t>
        </is>
      </c>
      <c r="E5" s="20" t="inlineStr">
        <is>
          <t>Lấy dữ liệu từ /api/products/by-slug ngay trên Express và in vào HTML trả về: &lt;title&gt;, meta description, canonical tự trỏ đúng URL, og:title, og:description, og:image (ảnh sản phẩm 1200x630), og:url. Title/meta lấy theo sheet 01b_Audit_Onpage.</t>
        </is>
      </c>
      <c r="F5" s="20" t="inlineStr">
        <is>
          <t>14 URL /products/...</t>
        </is>
      </c>
      <c r="G5" s="22" t="inlineStr">
        <is>
          <t>Dev</t>
        </is>
      </c>
      <c r="H5" s="23" t="inlineStr">
        <is>
          <t>P0</t>
        </is>
      </c>
      <c r="I5" s="24" t="n">
        <v>46310</v>
      </c>
      <c r="J5" s="22" t="inlineStr">
        <is>
          <t>Chưa làm</t>
        </is>
      </c>
      <c r="K5" s="20" t="inlineStr">
        <is>
          <t>View-source (không JS) của từng sản phẩm hiện đúng tên, canonical đúng</t>
        </is>
      </c>
      <c r="L5" s="20" t="inlineStr">
        <is>
          <t>Audit mục 1; Strategy 01b U015–U028</t>
        </is>
      </c>
      <c r="M5" s="24" t="n"/>
      <c r="N5" s="22" t="n"/>
    </row>
    <row r="6" ht="45" customHeight="1">
      <c r="A6" s="20" t="n">
        <v>2</v>
      </c>
      <c r="B6" s="20" t="inlineStr">
        <is>
          <t>W02-02</t>
        </is>
      </c>
      <c r="C6" s="20" t="inlineStr">
        <is>
          <t>Kỹ thuật</t>
        </is>
      </c>
      <c r="D6" s="21" t="inlineStr">
        <is>
          <t>SSR H1, giá, mô tả, ảnh sản phẩm trong HTML gốc</t>
        </is>
      </c>
      <c r="E6" s="20" t="inlineStr">
        <is>
          <t>In H1, giá VND, mô tả, thông số (lực nâng, độ dày foam), ảnh chính kèm alt ngay trong HTML. JS chỉ thêm tương tác (chọn size, giỏ hàng).</t>
        </is>
      </c>
      <c r="F6" s="20" t="inlineStr">
        <is>
          <t>14 URL sản phẩm</t>
        </is>
      </c>
      <c r="G6" s="22" t="inlineStr">
        <is>
          <t>Dev</t>
        </is>
      </c>
      <c r="H6" s="23" t="inlineStr">
        <is>
          <t>P0</t>
        </is>
      </c>
      <c r="I6" s="24" t="n">
        <v>46311</v>
      </c>
      <c r="J6" s="22" t="inlineStr">
        <is>
          <t>Chưa làm</t>
        </is>
      </c>
      <c r="K6" s="20" t="inlineStr">
        <is>
          <t>curl trang sản phẩm thấy H1 + giá thật</t>
        </is>
      </c>
      <c r="L6" s="20" t="inlineStr">
        <is>
          <t>Strategy 07_Roadmap T1</t>
        </is>
      </c>
      <c r="M6" s="24" t="n"/>
      <c r="N6" s="22" t="n"/>
    </row>
    <row r="7" ht="45" customHeight="1">
      <c r="A7" s="20" t="n">
        <v>3</v>
      </c>
      <c r="B7" s="20" t="inlineStr">
        <is>
          <t>W02-03</t>
        </is>
      </c>
      <c r="C7" s="20" t="inlineStr">
        <is>
          <t>Kỹ thuật</t>
        </is>
      </c>
      <c r="D7" s="21" t="inlineStr">
        <is>
          <t>Xóa sản phẩm mẫu 'Velocity Pro One-Piece' khỏi template</t>
        </is>
      </c>
      <c r="E7" s="20" t="inlineStr">
        <is>
          <t>Tìm trong template HTML/JS mọi chuỗi Velocity Pro, giá 1.290.000, og:image favicon → xóa. Template mặc định không chứa dữ liệu sản phẩm giả.</t>
        </is>
      </c>
      <c r="F7" s="20" t="inlineStr">
        <is>
          <t>Template sản phẩm</t>
        </is>
      </c>
      <c r="G7" s="22" t="inlineStr">
        <is>
          <t>Dev</t>
        </is>
      </c>
      <c r="H7" s="23" t="inlineStr">
        <is>
          <t>P0</t>
        </is>
      </c>
      <c r="I7" s="24" t="n">
        <v>46309</v>
      </c>
      <c r="J7" s="22" t="inlineStr">
        <is>
          <t>Chưa làm</t>
        </is>
      </c>
      <c r="K7" s="20" t="inlineStr">
        <is>
          <t>grep toàn site không còn 'Velocity Pro'</t>
        </is>
      </c>
      <c r="L7" s="20" t="inlineStr">
        <is>
          <t>Audit: vấn đề nghiêm trọng #1</t>
        </is>
      </c>
      <c r="M7" s="24" t="n"/>
      <c r="N7" s="22" t="n"/>
    </row>
    <row r="8" ht="45" customHeight="1">
      <c r="A8" s="20" t="n">
        <v>4</v>
      </c>
      <c r="B8" s="20" t="inlineStr">
        <is>
          <t>W02-04</t>
        </is>
      </c>
      <c r="C8" s="20" t="inlineStr">
        <is>
          <t>Kỹ thuật</t>
        </is>
      </c>
      <c r="D8" s="21" t="inlineStr">
        <is>
          <t>Breadcrumb thật cho trang sản phẩm</t>
        </is>
      </c>
      <c r="E8" s="20" t="inlineStr">
        <is>
          <t>Thay 'Collections › Đồ Bơi' cố định bằng breadcrumb theo danh mục: Trang chủ › Đồ bơi nữ › Liền thân › Tên SP (render sẵn HTML).</t>
        </is>
      </c>
      <c r="F8" s="20" t="inlineStr">
        <is>
          <t>14 URL sản phẩm</t>
        </is>
      </c>
      <c r="G8" s="22" t="inlineStr">
        <is>
          <t>Dev</t>
        </is>
      </c>
      <c r="H8" s="20" t="inlineStr">
        <is>
          <t>P1</t>
        </is>
      </c>
      <c r="I8" s="24" t="n">
        <v>46312</v>
      </c>
      <c r="J8" s="22" t="inlineStr">
        <is>
          <t>Chưa làm</t>
        </is>
      </c>
      <c r="K8" s="20" t="inlineStr">
        <is>
          <t>Breadcrumb đúng danh mục từng sản phẩm</t>
        </is>
      </c>
      <c r="L8" s="20" t="inlineStr">
        <is>
          <t>Strategy 08_Internal_Link</t>
        </is>
      </c>
      <c r="M8" s="24" t="n"/>
      <c r="N8" s="22" t="n"/>
    </row>
    <row r="9" ht="75" customHeight="1">
      <c r="A9" s="20" t="n">
        <v>5</v>
      </c>
      <c r="B9" s="20" t="inlineStr">
        <is>
          <t>W02-05</t>
        </is>
      </c>
      <c r="C9" s="20" t="inlineStr">
        <is>
          <t>Kiểm tra</t>
        </is>
      </c>
      <c r="D9" s="21" t="inlineStr">
        <is>
          <t>Kiểm tra lại sau khi deploy SSR</t>
        </is>
      </c>
      <c r="E9" s="20" t="inlineStr">
        <is>
          <t>1. Crawl không chạy JS (Screaming Frog chế độ Text only hoặc curl) 14 URL.
2. GSC → URL Inspection từng sản phẩm → Test live URL → Request indexing.
3. Facebook Sharing Debugger → Scrape again.</t>
        </is>
      </c>
      <c r="F9" s="20" t="inlineStr">
        <is>
          <t>14 URL sản phẩm</t>
        </is>
      </c>
      <c r="G9" s="22" t="inlineStr">
        <is>
          <t>SEO</t>
        </is>
      </c>
      <c r="H9" s="23" t="inlineStr">
        <is>
          <t>P0</t>
        </is>
      </c>
      <c r="I9" s="24" t="n">
        <v>46313</v>
      </c>
      <c r="J9" s="22" t="inlineStr">
        <is>
          <t>Chưa làm</t>
        </is>
      </c>
      <c r="K9" s="20" t="inlineStr">
        <is>
          <t>14/14 có title riêng; đã Request indexing</t>
        </is>
      </c>
      <c r="L9" s="20" t="inlineStr">
        <is>
          <t>Strategy 09_KPI: 14/14 HTML riêng</t>
        </is>
      </c>
      <c r="M9" s="24" t="n"/>
      <c r="N9" s="22" t="n"/>
    </row>
  </sheetData>
  <autoFilter ref="A4:N9"/>
  <conditionalFormatting sqref="A5:N29">
    <cfRule type="expression" priority="1" dxfId="0">
      <formula>$J5="Xong"</formula>
    </cfRule>
    <cfRule type="expression" priority="2" dxfId="1">
      <formula>$J5="Đang làm"</formula>
    </cfRule>
    <cfRule type="expression" priority="3" dxfId="2">
      <formula>$J5="Chờ duyệt"</formula>
    </cfRule>
    <cfRule type="expression" priority="4" dxfId="3">
      <formula>$J5="Vướng"</formula>
    </cfRule>
  </conditionalFormatting>
  <dataValidations count="2">
    <dataValidation sqref="J5:J29" showDropDown="0" showInputMessage="0" showErrorMessage="0" allowBlank="1" type="list">
      <formula1>"Chưa làm,Đang làm,Chờ duyệt,Xong,Vướng"</formula1>
    </dataValidation>
    <dataValidation sqref="H5:H29" showDropDown="0" showInputMessage="0" showErrorMessage="0" allowBlank="1" type="list">
      <formula1>"P0,P1,P2"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34" customWidth="1" min="4" max="4"/>
    <col width="62" customWidth="1" min="5" max="5"/>
    <col width="30" customWidth="1" min="6" max="6"/>
    <col width="15" customWidth="1" min="7" max="7"/>
    <col width="8" customWidth="1" min="8" max="8"/>
    <col width="11" customWidth="1" min="9" max="9"/>
    <col width="12" customWidth="1" min="10" max="10"/>
    <col width="34" customWidth="1" min="11" max="11"/>
    <col width="24" customWidth="1" min="12" max="12"/>
    <col width="11" customWidth="1" min="13" max="13"/>
    <col width="30" customWidth="1" min="14" max="14"/>
  </cols>
  <sheetData>
    <row r="1">
      <c r="A1" s="5" t="inlineStr">
        <is>
          <t>Tuần 3 (19/10 – 25/10/2026) · Tháng 1: SSR danh mục + title/meta/H1 toàn site</t>
        </is>
      </c>
    </row>
    <row r="2">
      <c r="A2" s="17" t="inlineStr">
        <is>
          <t>Tiến độ:</t>
        </is>
      </c>
      <c r="C2" s="18">
        <f>IFERROR(COUNTIF(J5:J30,"Xong")/COUNTA(B5:B30),0)</f>
        <v/>
      </c>
      <c r="D2" s="19">
        <f>COUNTIF(J5:J30,"Xong")&amp;" / "&amp;COUNTA(B5:B30)&amp;" task xong · "&amp;COUNTIF(J5:J30,"Vướng")&amp;" task vướng"</f>
        <v/>
      </c>
    </row>
    <row r="4" ht="30" customHeight="1">
      <c r="A4" s="6" t="inlineStr">
        <is>
          <t>STT</t>
        </is>
      </c>
      <c r="B4" s="6" t="inlineStr">
        <is>
          <t>Mã task</t>
        </is>
      </c>
      <c r="C4" s="6" t="inlineStr">
        <is>
          <t>Hạng mục</t>
        </is>
      </c>
      <c r="D4" s="6" t="inlineStr">
        <is>
          <t>Đầu việc</t>
        </is>
      </c>
      <c r="E4" s="6" t="inlineStr">
        <is>
          <t>Các bước thực hiện</t>
        </is>
      </c>
      <c r="F4" s="6" t="inlineStr">
        <is>
          <t>URL / phạm vi</t>
        </is>
      </c>
      <c r="G4" s="6" t="inlineStr">
        <is>
          <t>Phụ trách</t>
        </is>
      </c>
      <c r="H4" s="6" t="inlineStr">
        <is>
          <t>Ưu tiên</t>
        </is>
      </c>
      <c r="I4" s="6" t="inlineStr">
        <is>
          <t>Hạn chót</t>
        </is>
      </c>
      <c r="J4" s="6" t="inlineStr">
        <is>
          <t>Trạng thái</t>
        </is>
      </c>
      <c r="K4" s="6" t="inlineStr">
        <is>
          <t>Tiêu chí hoàn thành</t>
        </is>
      </c>
      <c r="L4" s="6" t="inlineStr">
        <is>
          <t>Nguồn</t>
        </is>
      </c>
      <c r="M4" s="6" t="inlineStr">
        <is>
          <t>Ngày xong</t>
        </is>
      </c>
      <c r="N4" s="6" t="inlineStr">
        <is>
          <t>Ghi chú / link bằng chứng</t>
        </is>
      </c>
    </row>
    <row r="5" ht="45" customHeight="1">
      <c r="A5" s="20" t="n">
        <v>1</v>
      </c>
      <c r="B5" s="20" t="inlineStr">
        <is>
          <t>W03-01</t>
        </is>
      </c>
      <c r="C5" s="20" t="inlineStr">
        <is>
          <t>Kỹ thuật</t>
        </is>
      </c>
      <c r="D5" s="21" t="inlineStr">
        <is>
          <t>SSR lưới sản phẩm ở trang danh mục</t>
        </is>
      </c>
      <c r="E5" s="20" t="inlineStr">
        <is>
          <t>Trang /products, /women, /kids, /collections: render sẵn danh sách sản phẩm (tên, giá, ảnh, link) trong HTML; bỏ trạng thái '0 Sản Phẩm / Đang tải...' ở HTML gốc.</t>
        </is>
      </c>
      <c r="F5" s="20" t="inlineStr">
        <is>
          <t>/products, /women, /kids, /collections</t>
        </is>
      </c>
      <c r="G5" s="22" t="inlineStr">
        <is>
          <t>Dev</t>
        </is>
      </c>
      <c r="H5" s="23" t="inlineStr">
        <is>
          <t>P0</t>
        </is>
      </c>
      <c r="I5" s="24" t="n">
        <v>46317</v>
      </c>
      <c r="J5" s="22" t="inlineStr">
        <is>
          <t>Chưa làm</t>
        </is>
      </c>
      <c r="K5" s="20" t="inlineStr">
        <is>
          <t>curl /women thấy link tới các sản phẩm</t>
        </is>
      </c>
      <c r="L5" s="20" t="inlineStr">
        <is>
          <t>Strategy U014, U033</t>
        </is>
      </c>
      <c r="M5" s="24" t="n"/>
      <c r="N5" s="22" t="n"/>
    </row>
    <row r="6" ht="45" customHeight="1">
      <c r="A6" s="20" t="n">
        <v>2</v>
      </c>
      <c r="B6" s="20" t="inlineStr">
        <is>
          <t>W03-02</t>
        </is>
      </c>
      <c r="C6" s="20" t="inlineStr">
        <is>
          <t>On-page</t>
        </is>
      </c>
      <c r="D6" s="21" t="inlineStr">
        <is>
          <t>Viết meta description cho toàn bộ URL thiếu</t>
        </is>
      </c>
      <c r="E6" s="20" t="inlineStr">
        <is>
          <t>Dùng cột 'Meta đề xuất' trong sheet 01b_Audit_Onpage (26/33 URL thiếu). Dev đưa vào CMS/DB, render phía máy chủ. Độ dài 140–160 ký tự.</t>
        </is>
      </c>
      <c r="F6" s="20" t="inlineStr">
        <is>
          <t>26 URL</t>
        </is>
      </c>
      <c r="G6" s="22" t="inlineStr">
        <is>
          <t>SEO + Dev</t>
        </is>
      </c>
      <c r="H6" s="23" t="inlineStr">
        <is>
          <t>P0</t>
        </is>
      </c>
      <c r="I6" s="24" t="n">
        <v>46317</v>
      </c>
      <c r="J6" s="22" t="inlineStr">
        <is>
          <t>Chưa làm</t>
        </is>
      </c>
      <c r="K6" s="20" t="inlineStr">
        <is>
          <t>Crawl: 0 URL thiếu meta</t>
        </is>
      </c>
      <c r="L6" s="20" t="inlineStr">
        <is>
          <t>Audit: 24/30 thiếu meta; Strategy 01b</t>
        </is>
      </c>
      <c r="M6" s="24" t="n"/>
      <c r="N6" s="22" t="n"/>
    </row>
    <row r="7" ht="45" customHeight="1">
      <c r="A7" s="20" t="n">
        <v>3</v>
      </c>
      <c r="B7" s="20" t="inlineStr">
        <is>
          <t>W03-03</t>
        </is>
      </c>
      <c r="C7" s="20" t="inlineStr">
        <is>
          <t>On-page</t>
        </is>
      </c>
      <c r="D7" s="21" t="inlineStr">
        <is>
          <t>Sửa title theo đề xuất, bỏ tên thương hiệu lặp</t>
        </is>
      </c>
      <c r="E7" s="20" t="inlineStr">
        <is>
          <t>Áp dụng cột 'Title đề xuất' sheet 01b. Bỏ lặp 'CARÉTTA ... - CARÉTTA' (15 trang). Title ngắn không từ khóa (9 trang) → thêm từ khóa.</t>
        </is>
      </c>
      <c r="F7" s="20" t="inlineStr">
        <is>
          <t>33 URL</t>
        </is>
      </c>
      <c r="G7" s="22" t="inlineStr">
        <is>
          <t>SEO + Dev</t>
        </is>
      </c>
      <c r="H7" s="23" t="inlineStr">
        <is>
          <t>P0</t>
        </is>
      </c>
      <c r="I7" s="24" t="n">
        <v>46318</v>
      </c>
      <c r="J7" s="22" t="inlineStr">
        <is>
          <t>Chưa làm</t>
        </is>
      </c>
      <c r="K7" s="20" t="inlineStr">
        <is>
          <t>Không title trùng, không lặp thương hiệu</t>
        </is>
      </c>
      <c r="L7" s="20" t="inlineStr">
        <is>
          <t>Audit mục 3</t>
        </is>
      </c>
      <c r="M7" s="24" t="n"/>
      <c r="N7" s="22" t="n"/>
    </row>
    <row r="8" ht="45" customHeight="1">
      <c r="A8" s="20" t="n">
        <v>4</v>
      </c>
      <c r="B8" s="20" t="inlineStr">
        <is>
          <t>W03-04</t>
        </is>
      </c>
      <c r="C8" s="20" t="inlineStr">
        <is>
          <t>On-page</t>
        </is>
      </c>
      <c r="D8" s="21" t="inlineStr">
        <is>
          <t>H1 đúng 1 thẻ mỗi trang</t>
        </is>
      </c>
      <c r="E8" s="20" t="inlineStr">
        <is>
          <t>Thêm H1 cho /women ('Đồ bơi nữ có phao trợ nổi'), /men, /kids, /collections. Bỏ H1 thứ 2 ở /ve-chung-toi/phat-trien-ben-vung và /tuyen-dung. Đổi H1 why-caretta theo 01b.</t>
        </is>
      </c>
      <c r="F8" s="20" t="inlineStr">
        <is>
          <t>7 URL</t>
        </is>
      </c>
      <c r="G8" s="22" t="inlineStr">
        <is>
          <t>Dev</t>
        </is>
      </c>
      <c r="H8" s="23" t="inlineStr">
        <is>
          <t>P0</t>
        </is>
      </c>
      <c r="I8" s="24" t="n">
        <v>46318</v>
      </c>
      <c r="J8" s="22" t="inlineStr">
        <is>
          <t>Chưa làm</t>
        </is>
      </c>
      <c r="K8" s="20" t="inlineStr">
        <is>
          <t>Mỗi trang đúng 1 H1</t>
        </is>
      </c>
      <c r="L8" s="20" t="inlineStr">
        <is>
          <t>Audit mục 3; Strategy 01b</t>
        </is>
      </c>
      <c r="M8" s="24" t="n"/>
      <c r="N8" s="22" t="n"/>
    </row>
    <row r="9" ht="45" customHeight="1">
      <c r="A9" s="20" t="n">
        <v>5</v>
      </c>
      <c r="B9" s="20" t="inlineStr">
        <is>
          <t>W03-05</t>
        </is>
      </c>
      <c r="C9" s="20" t="inlineStr">
        <is>
          <t>On-page</t>
        </is>
      </c>
      <c r="D9" s="21" t="inlineStr">
        <is>
          <t>og:image riêng cho trang chủ và danh mục</t>
        </is>
      </c>
      <c r="E9" s="20" t="inlineStr">
        <is>
          <t>Thay og:image favicon bằng ảnh 1200x630 cho trang chủ, danh mục, trang hỗ trợ.</t>
        </is>
      </c>
      <c r="F9" s="20" t="inlineStr">
        <is>
          <t>Toàn site</t>
        </is>
      </c>
      <c r="G9" s="22" t="inlineStr">
        <is>
          <t>Dev + Content</t>
        </is>
      </c>
      <c r="H9" s="20" t="inlineStr">
        <is>
          <t>P1</t>
        </is>
      </c>
      <c r="I9" s="24" t="n">
        <v>46319</v>
      </c>
      <c r="J9" s="22" t="inlineStr">
        <is>
          <t>Chưa làm</t>
        </is>
      </c>
      <c r="K9" s="20" t="inlineStr">
        <is>
          <t>Sharing Debugger hiện ảnh đúng</t>
        </is>
      </c>
      <c r="L9" s="20" t="inlineStr">
        <is>
          <t>Audit mục 3</t>
        </is>
      </c>
      <c r="M9" s="24" t="n"/>
      <c r="N9" s="22" t="n"/>
    </row>
    <row r="10" ht="45" customHeight="1">
      <c r="A10" s="20" t="n">
        <v>6</v>
      </c>
      <c r="B10" s="20" t="inlineStr">
        <is>
          <t>W03-06</t>
        </is>
      </c>
      <c r="C10" s="20" t="inlineStr">
        <is>
          <t>Kiểm tra</t>
        </is>
      </c>
      <c r="D10" s="21" t="inlineStr">
        <is>
          <t>Crawl lại và gửi lại sitemap</t>
        </is>
      </c>
      <c r="E10" s="20" t="inlineStr">
        <is>
          <t>Crawl toàn site (không JS), kiểm tra title/meta/H1/canonical. GSC: gửi lại sitemap, Request indexing trang danh mục.</t>
        </is>
      </c>
      <c r="F10" s="20" t="inlineStr">
        <is>
          <t>Toàn site</t>
        </is>
      </c>
      <c r="G10" s="22" t="inlineStr">
        <is>
          <t>SEO</t>
        </is>
      </c>
      <c r="H10" s="23" t="inlineStr">
        <is>
          <t>P0</t>
        </is>
      </c>
      <c r="I10" s="24" t="n">
        <v>46320</v>
      </c>
      <c r="J10" s="22" t="inlineStr">
        <is>
          <t>Chưa làm</t>
        </is>
      </c>
      <c r="K10" s="20" t="inlineStr">
        <is>
          <t>Báo cáo crawl gửi chủ shop</t>
        </is>
      </c>
      <c r="L10" s="20" t="inlineStr"/>
      <c r="M10" s="24" t="n"/>
      <c r="N10" s="22" t="n"/>
    </row>
  </sheetData>
  <autoFilter ref="A4:N10"/>
  <conditionalFormatting sqref="A5:N30">
    <cfRule type="expression" priority="1" dxfId="0">
      <formula>$J5="Xong"</formula>
    </cfRule>
    <cfRule type="expression" priority="2" dxfId="1">
      <formula>$J5="Đang làm"</formula>
    </cfRule>
    <cfRule type="expression" priority="3" dxfId="2">
      <formula>$J5="Chờ duyệt"</formula>
    </cfRule>
    <cfRule type="expression" priority="4" dxfId="3">
      <formula>$J5="Vướng"</formula>
    </cfRule>
  </conditionalFormatting>
  <dataValidations count="2">
    <dataValidation sqref="J5:J30" showDropDown="0" showInputMessage="0" showErrorMessage="0" allowBlank="1" type="list">
      <formula1>"Chưa làm,Đang làm,Chờ duyệt,Xong,Vướng"</formula1>
    </dataValidation>
    <dataValidation sqref="H5:H30" showDropDown="0" showInputMessage="0" showErrorMessage="0" allowBlank="1" type="list">
      <formula1>"P0,P1,P2"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34" customWidth="1" min="4" max="4"/>
    <col width="62" customWidth="1" min="5" max="5"/>
    <col width="30" customWidth="1" min="6" max="6"/>
    <col width="15" customWidth="1" min="7" max="7"/>
    <col width="8" customWidth="1" min="8" max="8"/>
    <col width="11" customWidth="1" min="9" max="9"/>
    <col width="12" customWidth="1" min="10" max="10"/>
    <col width="34" customWidth="1" min="11" max="11"/>
    <col width="24" customWidth="1" min="12" max="12"/>
    <col width="11" customWidth="1" min="13" max="13"/>
    <col width="30" customWidth="1" min="14" max="14"/>
  </cols>
  <sheetData>
    <row r="1">
      <c r="A1" s="5" t="inlineStr">
        <is>
          <t>Tuần 4 (26/10 – 01/11/2026) · Tháng 1: Pháp lý, tin cậy + tổng kết tháng 1</t>
        </is>
      </c>
    </row>
    <row r="2">
      <c r="A2" s="17" t="inlineStr">
        <is>
          <t>Tiến độ:</t>
        </is>
      </c>
      <c r="C2" s="18">
        <f>IFERROR(COUNTIF(J5:J29,"Xong")/COUNTA(B5:B29),0)</f>
        <v/>
      </c>
      <c r="D2" s="19">
        <f>COUNTIF(J5:J29,"Xong")&amp;" / "&amp;COUNTA(B5:B29)&amp;" task xong · "&amp;COUNTIF(J5:J29,"Vướng")&amp;" task vướng"</f>
        <v/>
      </c>
    </row>
    <row r="4" ht="30" customHeight="1">
      <c r="A4" s="6" t="inlineStr">
        <is>
          <t>STT</t>
        </is>
      </c>
      <c r="B4" s="6" t="inlineStr">
        <is>
          <t>Mã task</t>
        </is>
      </c>
      <c r="C4" s="6" t="inlineStr">
        <is>
          <t>Hạng mục</t>
        </is>
      </c>
      <c r="D4" s="6" t="inlineStr">
        <is>
          <t>Đầu việc</t>
        </is>
      </c>
      <c r="E4" s="6" t="inlineStr">
        <is>
          <t>Các bước thực hiện</t>
        </is>
      </c>
      <c r="F4" s="6" t="inlineStr">
        <is>
          <t>URL / phạm vi</t>
        </is>
      </c>
      <c r="G4" s="6" t="inlineStr">
        <is>
          <t>Phụ trách</t>
        </is>
      </c>
      <c r="H4" s="6" t="inlineStr">
        <is>
          <t>Ưu tiên</t>
        </is>
      </c>
      <c r="I4" s="6" t="inlineStr">
        <is>
          <t>Hạn chót</t>
        </is>
      </c>
      <c r="J4" s="6" t="inlineStr">
        <is>
          <t>Trạng thái</t>
        </is>
      </c>
      <c r="K4" s="6" t="inlineStr">
        <is>
          <t>Tiêu chí hoàn thành</t>
        </is>
      </c>
      <c r="L4" s="6" t="inlineStr">
        <is>
          <t>Nguồn</t>
        </is>
      </c>
      <c r="M4" s="6" t="inlineStr">
        <is>
          <t>Ngày xong</t>
        </is>
      </c>
      <c r="N4" s="6" t="inlineStr">
        <is>
          <t>Ghi chú / link bằng chứng</t>
        </is>
      </c>
    </row>
    <row r="5" ht="45" customHeight="1">
      <c r="A5" s="20" t="n">
        <v>1</v>
      </c>
      <c r="B5" s="20" t="inlineStr">
        <is>
          <t>W04-01</t>
        </is>
      </c>
      <c r="C5" s="20" t="inlineStr">
        <is>
          <t>Nội dung</t>
        </is>
      </c>
      <c r="D5" s="21" t="inlineStr">
        <is>
          <t>Tạo trang Chính sách bảo mật và Điều khoản sử dụng</t>
        </is>
      </c>
      <c r="E5" s="20" t="inlineStr">
        <is>
          <t>Viết nội dung (thu thập dữ liệu, cookie, thanh toán, quyền khách hàng). URL /chinh-sach-bao-mat/, /dieu-khoan/. Gắn vào footer + menu Hỗ trợ.</t>
        </is>
      </c>
      <c r="F5" s="20" t="inlineStr">
        <is>
          <t>2 URL mới</t>
        </is>
      </c>
      <c r="G5" s="22" t="inlineStr">
        <is>
          <t>Content + Chủ shop</t>
        </is>
      </c>
      <c r="H5" s="23" t="inlineStr">
        <is>
          <t>P0</t>
        </is>
      </c>
      <c r="I5" s="24" t="n">
        <v>46324</v>
      </c>
      <c r="J5" s="22" t="inlineStr">
        <is>
          <t>Chưa làm</t>
        </is>
      </c>
      <c r="K5" s="20" t="inlineStr">
        <is>
          <t>2 trang live, footer link đúng</t>
        </is>
      </c>
      <c r="L5" s="20" t="inlineStr">
        <is>
          <t>Audit mục 4; Strategy 04_Menu</t>
        </is>
      </c>
      <c r="M5" s="24" t="n"/>
      <c r="N5" s="22" t="n"/>
    </row>
    <row r="6" ht="45" customHeight="1">
      <c r="A6" s="20" t="n">
        <v>2</v>
      </c>
      <c r="B6" s="20" t="inlineStr">
        <is>
          <t>W04-02</t>
        </is>
      </c>
      <c r="C6" s="20" t="inlineStr">
        <is>
          <t>Nội dung</t>
        </is>
      </c>
      <c r="D6" s="21" t="inlineStr">
        <is>
          <t>Thông tin doanh nghiệp ở chân trang</t>
        </is>
      </c>
      <c r="E6" s="20" t="inlineStr">
        <is>
          <t>Chủ shop cung cấp: tên pháp nhân, MST, địa chỉ đăng ký, người đại diện, logo 'Đã thông báo Bộ Công Thương' (nếu đã đăng ký). Dev đưa vào footer.</t>
        </is>
      </c>
      <c r="F6" s="20" t="inlineStr">
        <is>
          <t>Footer</t>
        </is>
      </c>
      <c r="G6" s="22" t="inlineStr">
        <is>
          <t>Chủ shop + Dev</t>
        </is>
      </c>
      <c r="H6" s="23" t="inlineStr">
        <is>
          <t>P0</t>
        </is>
      </c>
      <c r="I6" s="24" t="n">
        <v>46325</v>
      </c>
      <c r="J6" s="22" t="inlineStr">
        <is>
          <t>Chưa làm</t>
        </is>
      </c>
      <c r="K6" s="20" t="inlineStr">
        <is>
          <t>Footer có tên công ty + MST</t>
        </is>
      </c>
      <c r="L6" s="20" t="inlineStr">
        <is>
          <t>Strategy 00_Huong_Dan (Cần xác minh)</t>
        </is>
      </c>
      <c r="M6" s="24" t="n"/>
      <c r="N6" s="22" t="n"/>
    </row>
    <row r="7" ht="45" customHeight="1">
      <c r="A7" s="20" t="n">
        <v>3</v>
      </c>
      <c r="B7" s="20" t="inlineStr">
        <is>
          <t>W04-03</t>
        </is>
      </c>
      <c r="C7" s="20" t="inlineStr">
        <is>
          <t>Nội dung</t>
        </is>
      </c>
      <c r="D7" s="21" t="inlineStr">
        <is>
          <t>Thống nhất chính sách đổi trả (10 hay 20 ngày)</t>
        </is>
      </c>
      <c r="E7" s="20" t="inlineStr">
        <is>
          <t>Chủ shop chốt 1 con số. Sửa đồng bộ ở /ho-tro/giao-hang-doi-tra và mọi trang sản phẩm.</t>
        </is>
      </c>
      <c r="F7" s="20" t="inlineStr">
        <is>
          <t>/ho-tro/giao-hang-doi-tra + 14 SP</t>
        </is>
      </c>
      <c r="G7" s="22" t="inlineStr">
        <is>
          <t>Chủ shop + Content</t>
        </is>
      </c>
      <c r="H7" s="23" t="inlineStr">
        <is>
          <t>P0</t>
        </is>
      </c>
      <c r="I7" s="24" t="n">
        <v>46323</v>
      </c>
      <c r="J7" s="22" t="inlineStr">
        <is>
          <t>Chưa làm</t>
        </is>
      </c>
      <c r="K7" s="20" t="inlineStr">
        <is>
          <t>Mọi trang ghi cùng một thời hạn</t>
        </is>
      </c>
      <c r="L7" s="20" t="inlineStr">
        <is>
          <t>Strategy U006</t>
        </is>
      </c>
      <c r="M7" s="24" t="n"/>
      <c r="N7" s="22" t="n"/>
    </row>
    <row r="8" ht="45" customHeight="1">
      <c r="A8" s="20" t="n">
        <v>4</v>
      </c>
      <c r="B8" s="20" t="inlineStr">
        <is>
          <t>W04-04</t>
        </is>
      </c>
      <c r="C8" s="20" t="inlineStr">
        <is>
          <t>Nội dung</t>
        </is>
      </c>
      <c r="D8" s="21" t="inlineStr">
        <is>
          <t>Bổ sung trang Câu chuyện thương hiệu</t>
        </is>
      </c>
      <c r="E8" s="20" t="inlineStr">
        <is>
          <t>Người sáng lập, nơi sản xuất (Made in Vietnam), ảnh xưởng/đội ngũ, tiêu chuẩn foam (nếu có).</t>
        </is>
      </c>
      <c r="F8" s="20" t="inlineStr">
        <is>
          <t>/ve-chung-toi/cau-chuyen</t>
        </is>
      </c>
      <c r="G8" s="22" t="inlineStr">
        <is>
          <t>Content + Chủ shop</t>
        </is>
      </c>
      <c r="H8" s="20" t="inlineStr">
        <is>
          <t>P1</t>
        </is>
      </c>
      <c r="I8" s="24" t="n">
        <v>46326</v>
      </c>
      <c r="J8" s="22" t="inlineStr">
        <is>
          <t>Chưa làm</t>
        </is>
      </c>
      <c r="K8" s="20" t="inlineStr">
        <is>
          <t>Trang có ảnh thật và thông tin pháp nhân</t>
        </is>
      </c>
      <c r="L8" s="20" t="inlineStr">
        <is>
          <t>Strategy U029</t>
        </is>
      </c>
      <c r="M8" s="24" t="n"/>
      <c r="N8" s="22" t="n"/>
    </row>
    <row r="9" ht="90" customHeight="1">
      <c r="A9" s="20" t="n">
        <v>5</v>
      </c>
      <c r="B9" s="20" t="inlineStr">
        <is>
          <t>W04-05</t>
        </is>
      </c>
      <c r="C9" s="20" t="inlineStr">
        <is>
          <t>Kiểm tra</t>
        </is>
      </c>
      <c r="D9" s="21" t="inlineStr">
        <is>
          <t>Tổng kết tháng 1</t>
        </is>
      </c>
      <c r="E9" s="20" t="inlineStr">
        <is>
          <t>1. Đo lại PageSpeed Mobile + Desktop 5 URL, ghi PageSpeed_Log.
2. GSC Pages: số URL index, lỗi còn lại.
3. Cập nhật KPI tháng M1 (14/14 HTML riêng, 0 thiếu meta).
4. Gửi báo cáo ngắn cho chủ shop.</t>
        </is>
      </c>
      <c r="F9" s="20" t="inlineStr">
        <is>
          <t>Toàn site</t>
        </is>
      </c>
      <c r="G9" s="22" t="inlineStr">
        <is>
          <t>SEO</t>
        </is>
      </c>
      <c r="H9" s="23" t="inlineStr">
        <is>
          <t>P0</t>
        </is>
      </c>
      <c r="I9" s="24" t="n">
        <v>46327</v>
      </c>
      <c r="J9" s="22" t="inlineStr">
        <is>
          <t>Chưa làm</t>
        </is>
      </c>
      <c r="K9" s="20" t="inlineStr">
        <is>
          <t>Báo cáo tháng 1 đã gửi</t>
        </is>
      </c>
      <c r="L9" s="20" t="inlineStr">
        <is>
          <t>Strategy 09_KPI M1</t>
        </is>
      </c>
      <c r="M9" s="24" t="n"/>
      <c r="N9" s="22" t="n"/>
    </row>
  </sheetData>
  <autoFilter ref="A4:N9"/>
  <conditionalFormatting sqref="A5:N29">
    <cfRule type="expression" priority="1" dxfId="0">
      <formula>$J5="Xong"</formula>
    </cfRule>
    <cfRule type="expression" priority="2" dxfId="1">
      <formula>$J5="Đang làm"</formula>
    </cfRule>
    <cfRule type="expression" priority="3" dxfId="2">
      <formula>$J5="Chờ duyệt"</formula>
    </cfRule>
    <cfRule type="expression" priority="4" dxfId="3">
      <formula>$J5="Vướng"</formula>
    </cfRule>
  </conditionalFormatting>
  <dataValidations count="2">
    <dataValidation sqref="J5:J29" showDropDown="0" showInputMessage="0" showErrorMessage="0" allowBlank="1" type="list">
      <formula1>"Chưa làm,Đang làm,Chờ duyệt,Xong,Vướng"</formula1>
    </dataValidation>
    <dataValidation sqref="H5:H29" showDropDown="0" showInputMessage="0" showErrorMessage="0" allowBlank="1" type="list">
      <formula1>"P0,P1,P2"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34" customWidth="1" min="4" max="4"/>
    <col width="62" customWidth="1" min="5" max="5"/>
    <col width="30" customWidth="1" min="6" max="6"/>
    <col width="15" customWidth="1" min="7" max="7"/>
    <col width="8" customWidth="1" min="8" max="8"/>
    <col width="11" customWidth="1" min="9" max="9"/>
    <col width="12" customWidth="1" min="10" max="10"/>
    <col width="34" customWidth="1" min="11" max="11"/>
    <col width="24" customWidth="1" min="12" max="12"/>
    <col width="11" customWidth="1" min="13" max="13"/>
    <col width="30" customWidth="1" min="14" max="14"/>
  </cols>
  <sheetData>
    <row r="1">
      <c r="A1" s="5" t="inlineStr">
        <is>
          <t>Tuần 5 (02/11 – 08/11/2026) · Tháng 2: URL tiếng Việt + 301</t>
        </is>
      </c>
    </row>
    <row r="2">
      <c r="A2" s="17" t="inlineStr">
        <is>
          <t>Tiến độ:</t>
        </is>
      </c>
      <c r="C2" s="18">
        <f>IFERROR(COUNTIF(J5:J28,"Xong")/COUNTA(B5:B28),0)</f>
        <v/>
      </c>
      <c r="D2" s="19">
        <f>COUNTIF(J5:J28,"Xong")&amp;" / "&amp;COUNTA(B5:B28)&amp;" task xong · "&amp;COUNTIF(J5:J28,"Vướng")&amp;" task vướng"</f>
        <v/>
      </c>
    </row>
    <row r="4" ht="30" customHeight="1">
      <c r="A4" s="6" t="inlineStr">
        <is>
          <t>STT</t>
        </is>
      </c>
      <c r="B4" s="6" t="inlineStr">
        <is>
          <t>Mã task</t>
        </is>
      </c>
      <c r="C4" s="6" t="inlineStr">
        <is>
          <t>Hạng mục</t>
        </is>
      </c>
      <c r="D4" s="6" t="inlineStr">
        <is>
          <t>Đầu việc</t>
        </is>
      </c>
      <c r="E4" s="6" t="inlineStr">
        <is>
          <t>Các bước thực hiện</t>
        </is>
      </c>
      <c r="F4" s="6" t="inlineStr">
        <is>
          <t>URL / phạm vi</t>
        </is>
      </c>
      <c r="G4" s="6" t="inlineStr">
        <is>
          <t>Phụ trách</t>
        </is>
      </c>
      <c r="H4" s="6" t="inlineStr">
        <is>
          <t>Ưu tiên</t>
        </is>
      </c>
      <c r="I4" s="6" t="inlineStr">
        <is>
          <t>Hạn chót</t>
        </is>
      </c>
      <c r="J4" s="6" t="inlineStr">
        <is>
          <t>Trạng thái</t>
        </is>
      </c>
      <c r="K4" s="6" t="inlineStr">
        <is>
          <t>Tiêu chí hoàn thành</t>
        </is>
      </c>
      <c r="L4" s="6" t="inlineStr">
        <is>
          <t>Nguồn</t>
        </is>
      </c>
      <c r="M4" s="6" t="inlineStr">
        <is>
          <t>Ngày xong</t>
        </is>
      </c>
      <c r="N4" s="6" t="inlineStr">
        <is>
          <t>Ghi chú / link bằng chứng</t>
        </is>
      </c>
    </row>
    <row r="5" ht="45" customHeight="1">
      <c r="A5" s="20" t="n">
        <v>1</v>
      </c>
      <c r="B5" s="20" t="inlineStr">
        <is>
          <t>W05-01</t>
        </is>
      </c>
      <c r="C5" s="20" t="inlineStr">
        <is>
          <t>Cấu trúc</t>
        </is>
      </c>
      <c r="D5" s="21" t="inlineStr">
        <is>
          <t>Chốt bảng URL mới và bảng 301</t>
        </is>
      </c>
      <c r="E5" s="20" t="inlineStr">
        <is>
          <t>Theo sheet 04_Menu_DLN: /products→/do-boi-co-phao/, /women→/do-boi-nu/, /kids→/do-boi-tre-em/, /collections→/do-boi-co-phao/, /ve-chung-toi/why-caretta→/cong-nghe-phao-noi/. Lập file Excel cột 'URL cũ | URL mới'.</t>
        </is>
      </c>
      <c r="F5" s="20" t="inlineStr">
        <is>
          <t>Toàn site</t>
        </is>
      </c>
      <c r="G5" s="22" t="inlineStr">
        <is>
          <t>SEO</t>
        </is>
      </c>
      <c r="H5" s="23" t="inlineStr">
        <is>
          <t>P0</t>
        </is>
      </c>
      <c r="I5" s="24" t="n">
        <v>46329</v>
      </c>
      <c r="J5" s="22" t="inlineStr">
        <is>
          <t>Chưa làm</t>
        </is>
      </c>
      <c r="K5" s="20" t="inlineStr">
        <is>
          <t>Bảng 301 được chủ shop duyệt</t>
        </is>
      </c>
      <c r="L5" s="20" t="inlineStr">
        <is>
          <t>Strategy 04_Menu, 01_URL</t>
        </is>
      </c>
      <c r="M5" s="24" t="n"/>
      <c r="N5" s="22" t="n"/>
    </row>
    <row r="6" ht="45" customHeight="1">
      <c r="A6" s="20" t="n">
        <v>2</v>
      </c>
      <c r="B6" s="20" t="inlineStr">
        <is>
          <t>W05-02</t>
        </is>
      </c>
      <c r="C6" s="20" t="inlineStr">
        <is>
          <t>Cấu trúc</t>
        </is>
      </c>
      <c r="D6" s="21" t="inlineStr">
        <is>
          <t>Triển khai URL mới + redirect 301</t>
        </is>
      </c>
      <c r="E6" s="20" t="inlineStr">
        <is>
          <t>Dev tạo route mới, 301 một bước từ URL cũ (không chuỗi redirect). Cập nhật canonical, menu, footer, link nội bộ sang URL mới.</t>
        </is>
      </c>
      <c r="F6" s="20" t="inlineStr">
        <is>
          <t>Danh mục + why-caretta</t>
        </is>
      </c>
      <c r="G6" s="22" t="inlineStr">
        <is>
          <t>Dev</t>
        </is>
      </c>
      <c r="H6" s="23" t="inlineStr">
        <is>
          <t>P0</t>
        </is>
      </c>
      <c r="I6" s="24" t="n">
        <v>46332</v>
      </c>
      <c r="J6" s="22" t="inlineStr">
        <is>
          <t>Chưa làm</t>
        </is>
      </c>
      <c r="K6" s="20" t="inlineStr">
        <is>
          <t>Mọi URL cũ trả 301 → URL mới trả 200</t>
        </is>
      </c>
      <c r="L6" s="20" t="inlineStr">
        <is>
          <t>Strategy 07_Roadmap T2</t>
        </is>
      </c>
      <c r="M6" s="24" t="n"/>
      <c r="N6" s="22" t="n"/>
    </row>
    <row r="7" ht="45" customHeight="1">
      <c r="A7" s="20" t="n">
        <v>3</v>
      </c>
      <c r="B7" s="20" t="inlineStr">
        <is>
          <t>W05-03</t>
        </is>
      </c>
      <c r="C7" s="20" t="inlineStr">
        <is>
          <t>Cấu trúc</t>
        </is>
      </c>
      <c r="D7" s="21" t="inlineStr">
        <is>
          <t>Danh mục con là URL thật (bỏ ?style=)</t>
        </is>
      </c>
      <c r="E7" s="20" t="inlineStr">
        <is>
          <t>Tạo /do-boi-nu/lien-than/, /do-boi-nu/2-manh/, /do-boi-nu/kin-dao/, /ao-phao-tap-boi/ có title/H1/meta riêng, lưới sản phẩm SSR.</t>
        </is>
      </c>
      <c r="F7" s="20" t="inlineStr">
        <is>
          <t>4 URL mới</t>
        </is>
      </c>
      <c r="G7" s="22" t="inlineStr">
        <is>
          <t>Dev</t>
        </is>
      </c>
      <c r="H7" s="23" t="inlineStr">
        <is>
          <t>P0</t>
        </is>
      </c>
      <c r="I7" s="24" t="n">
        <v>46333</v>
      </c>
      <c r="J7" s="22" t="inlineStr">
        <is>
          <t>Chưa làm</t>
        </is>
      </c>
      <c r="K7" s="20" t="inlineStr">
        <is>
          <t>4 trang danh mục con live, index được</t>
        </is>
      </c>
      <c r="L7" s="20" t="inlineStr">
        <is>
          <t>Strategy 04_Menu</t>
        </is>
      </c>
      <c r="M7" s="24" t="n"/>
      <c r="N7" s="22" t="n"/>
    </row>
    <row r="8" ht="45" customHeight="1">
      <c r="A8" s="20" t="n">
        <v>4</v>
      </c>
      <c r="B8" s="20" t="inlineStr">
        <is>
          <t>W05-04</t>
        </is>
      </c>
      <c r="C8" s="20" t="inlineStr">
        <is>
          <t>Kiểm tra</t>
        </is>
      </c>
      <c r="D8" s="21" t="inlineStr">
        <is>
          <t>Kiểm tra redirect và cập nhật GSC</t>
        </is>
      </c>
      <c r="E8" s="20" t="inlineStr">
        <is>
          <t>Crawl tìm redirect chain/404; gửi sitemap mới; Request indexing URL mới.</t>
        </is>
      </c>
      <c r="F8" s="20" t="inlineStr">
        <is>
          <t>Toàn site</t>
        </is>
      </c>
      <c r="G8" s="22" t="inlineStr">
        <is>
          <t>SEO</t>
        </is>
      </c>
      <c r="H8" s="23" t="inlineStr">
        <is>
          <t>P0</t>
        </is>
      </c>
      <c r="I8" s="24" t="n">
        <v>46334</v>
      </c>
      <c r="J8" s="22" t="inlineStr">
        <is>
          <t>Chưa làm</t>
        </is>
      </c>
      <c r="K8" s="20" t="inlineStr">
        <is>
          <t>0 link nội bộ trỏ URL đã 301</t>
        </is>
      </c>
      <c r="L8" s="20" t="inlineStr">
        <is>
          <t>Strategy 08_Internal_Link</t>
        </is>
      </c>
      <c r="M8" s="24" t="n"/>
      <c r="N8" s="22" t="n"/>
    </row>
  </sheetData>
  <autoFilter ref="A4:N8"/>
  <conditionalFormatting sqref="A5:N28">
    <cfRule type="expression" priority="1" dxfId="0">
      <formula>$J5="Xong"</formula>
    </cfRule>
    <cfRule type="expression" priority="2" dxfId="1">
      <formula>$J5="Đang làm"</formula>
    </cfRule>
    <cfRule type="expression" priority="3" dxfId="2">
      <formula>$J5="Chờ duyệt"</formula>
    </cfRule>
    <cfRule type="expression" priority="4" dxfId="3">
      <formula>$J5="Vướng"</formula>
    </cfRule>
  </conditionalFormatting>
  <dataValidations count="2">
    <dataValidation sqref="J5:J28" showDropDown="0" showInputMessage="0" showErrorMessage="0" allowBlank="1" type="list">
      <formula1>"Chưa làm,Đang làm,Chờ duyệt,Xong,Vướng"</formula1>
    </dataValidation>
    <dataValidation sqref="H5:H28" showDropDown="0" showInputMessage="0" showErrorMessage="0" allowBlank="1" type="list">
      <formula1>"P0,P1,P2"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34" customWidth="1" min="4" max="4"/>
    <col width="62" customWidth="1" min="5" max="5"/>
    <col width="30" customWidth="1" min="6" max="6"/>
    <col width="15" customWidth="1" min="7" max="7"/>
    <col width="8" customWidth="1" min="8" max="8"/>
    <col width="11" customWidth="1" min="9" max="9"/>
    <col width="12" customWidth="1" min="10" max="10"/>
    <col width="34" customWidth="1" min="11" max="11"/>
    <col width="24" customWidth="1" min="12" max="12"/>
    <col width="11" customWidth="1" min="13" max="13"/>
    <col width="30" customWidth="1" min="14" max="14"/>
  </cols>
  <sheetData>
    <row r="1">
      <c r="A1" s="5" t="inlineStr">
        <is>
          <t>Tuần 6 (09/11 – 15/11/2026) · Tháng 2: Schema (dữ liệu có cấu trúc)</t>
        </is>
      </c>
    </row>
    <row r="2">
      <c r="A2" s="17" t="inlineStr">
        <is>
          <t>Tiến độ:</t>
        </is>
      </c>
      <c r="C2" s="18">
        <f>IFERROR(COUNTIF(J5:J28,"Xong")/COUNTA(B5:B28),0)</f>
        <v/>
      </c>
      <c r="D2" s="19">
        <f>COUNTIF(J5:J28,"Xong")&amp;" / "&amp;COUNTA(B5:B28)&amp;" task xong · "&amp;COUNTIF(J5:J28,"Vướng")&amp;" task vướng"</f>
        <v/>
      </c>
    </row>
    <row r="4" ht="30" customHeight="1">
      <c r="A4" s="6" t="inlineStr">
        <is>
          <t>STT</t>
        </is>
      </c>
      <c r="B4" s="6" t="inlineStr">
        <is>
          <t>Mã task</t>
        </is>
      </c>
      <c r="C4" s="6" t="inlineStr">
        <is>
          <t>Hạng mục</t>
        </is>
      </c>
      <c r="D4" s="6" t="inlineStr">
        <is>
          <t>Đầu việc</t>
        </is>
      </c>
      <c r="E4" s="6" t="inlineStr">
        <is>
          <t>Các bước thực hiện</t>
        </is>
      </c>
      <c r="F4" s="6" t="inlineStr">
        <is>
          <t>URL / phạm vi</t>
        </is>
      </c>
      <c r="G4" s="6" t="inlineStr">
        <is>
          <t>Phụ trách</t>
        </is>
      </c>
      <c r="H4" s="6" t="inlineStr">
        <is>
          <t>Ưu tiên</t>
        </is>
      </c>
      <c r="I4" s="6" t="inlineStr">
        <is>
          <t>Hạn chót</t>
        </is>
      </c>
      <c r="J4" s="6" t="inlineStr">
        <is>
          <t>Trạng thái</t>
        </is>
      </c>
      <c r="K4" s="6" t="inlineStr">
        <is>
          <t>Tiêu chí hoàn thành</t>
        </is>
      </c>
      <c r="L4" s="6" t="inlineStr">
        <is>
          <t>Nguồn</t>
        </is>
      </c>
      <c r="M4" s="6" t="inlineStr">
        <is>
          <t>Ngày xong</t>
        </is>
      </c>
      <c r="N4" s="6" t="inlineStr">
        <is>
          <t>Ghi chú / link bằng chứng</t>
        </is>
      </c>
    </row>
    <row r="5" ht="45" customHeight="1">
      <c r="A5" s="20" t="n">
        <v>1</v>
      </c>
      <c r="B5" s="20" t="inlineStr">
        <is>
          <t>W06-01</t>
        </is>
      </c>
      <c r="C5" s="20" t="inlineStr">
        <is>
          <t>Schema</t>
        </is>
      </c>
      <c r="D5" s="21" t="inlineStr">
        <is>
          <t>Product + Offer cho 14 sản phẩm</t>
        </is>
      </c>
      <c r="E5" s="20" t="inlineStr">
        <is>
          <t>JSON-LD render phía máy chủ: name, brand CARÉTTA, image, description, sku, offers (price, priceCurrency VND, availability, itemCondition, url, hasMerchantReturnPolicy, shippingDetails). Mẫu ở mục 5 bản audit.</t>
        </is>
      </c>
      <c r="F5" s="20" t="inlineStr">
        <is>
          <t>14 URL sản phẩm</t>
        </is>
      </c>
      <c r="G5" s="22" t="inlineStr">
        <is>
          <t>Dev</t>
        </is>
      </c>
      <c r="H5" s="23" t="inlineStr">
        <is>
          <t>P0</t>
        </is>
      </c>
      <c r="I5" s="24" t="n">
        <v>46338</v>
      </c>
      <c r="J5" s="22" t="inlineStr">
        <is>
          <t>Chưa làm</t>
        </is>
      </c>
      <c r="K5" s="20" t="inlineStr">
        <is>
          <t>Rich Results Test: Product hợp lệ, 0 lỗi</t>
        </is>
      </c>
      <c r="L5" s="20" t="inlineStr">
        <is>
          <t>Audit mục 5</t>
        </is>
      </c>
      <c r="M5" s="24" t="n"/>
      <c r="N5" s="22" t="n"/>
    </row>
    <row r="6" ht="45" customHeight="1">
      <c r="A6" s="20" t="n">
        <v>2</v>
      </c>
      <c r="B6" s="20" t="inlineStr">
        <is>
          <t>W06-02</t>
        </is>
      </c>
      <c r="C6" s="20" t="inlineStr">
        <is>
          <t>Schema</t>
        </is>
      </c>
      <c r="D6" s="21" t="inlineStr">
        <is>
          <t>Organization + WebSite (trang chủ), OnlineStore/LocalBusiness</t>
        </is>
      </c>
      <c r="E6" s="20" t="inlineStr">
        <is>
          <t>Tên, logo, url, sameAs (FB, IG, TikTok), contactPoint hotline, địa chỉ 80/2 Yên Thế.</t>
        </is>
      </c>
      <c r="F6" s="20" t="inlineStr">
        <is>
          <t>Trang chủ</t>
        </is>
      </c>
      <c r="G6" s="22" t="inlineStr">
        <is>
          <t>Dev</t>
        </is>
      </c>
      <c r="H6" s="23" t="inlineStr">
        <is>
          <t>P0</t>
        </is>
      </c>
      <c r="I6" s="24" t="n">
        <v>46338</v>
      </c>
      <c r="J6" s="22" t="inlineStr">
        <is>
          <t>Chưa làm</t>
        </is>
      </c>
      <c r="K6" s="20" t="inlineStr">
        <is>
          <t>Schema Validator không lỗi</t>
        </is>
      </c>
      <c r="L6" s="20" t="inlineStr">
        <is>
          <t>Audit mục 5</t>
        </is>
      </c>
      <c r="M6" s="24" t="n"/>
      <c r="N6" s="22" t="n"/>
    </row>
    <row r="7" ht="45" customHeight="1">
      <c r="A7" s="20" t="n">
        <v>3</v>
      </c>
      <c r="B7" s="20" t="inlineStr">
        <is>
          <t>W06-03</t>
        </is>
      </c>
      <c r="C7" s="20" t="inlineStr">
        <is>
          <t>Schema</t>
        </is>
      </c>
      <c r="D7" s="21" t="inlineStr">
        <is>
          <t>BreadcrumbList + FAQPage</t>
        </is>
      </c>
      <c r="E7" s="20" t="inlineStr">
        <is>
          <t>BreadcrumbList cho sản phẩm, danh mục, hỗ trợ. FAQPage cho /ho-tro/cau-hoi-thuong-gap (thêm câu hỏi lực nâng theo cân nặng).</t>
        </is>
      </c>
      <c r="F7" s="20" t="inlineStr">
        <is>
          <t>Sản phẩm, danh mục, FAQ</t>
        </is>
      </c>
      <c r="G7" s="22" t="inlineStr">
        <is>
          <t>Dev + Content</t>
        </is>
      </c>
      <c r="H7" s="20" t="inlineStr">
        <is>
          <t>P1</t>
        </is>
      </c>
      <c r="I7" s="24" t="n">
        <v>46340</v>
      </c>
      <c r="J7" s="22" t="inlineStr">
        <is>
          <t>Chưa làm</t>
        </is>
      </c>
      <c r="K7" s="20" t="inlineStr">
        <is>
          <t>Rich Results Test hợp lệ</t>
        </is>
      </c>
      <c r="L7" s="20" t="inlineStr">
        <is>
          <t>Audit mục 5; Strategy U005</t>
        </is>
      </c>
      <c r="M7" s="24" t="n"/>
      <c r="N7" s="22" t="n"/>
    </row>
    <row r="8" ht="45" customHeight="1">
      <c r="A8" s="20" t="n">
        <v>4</v>
      </c>
      <c r="B8" s="20" t="inlineStr">
        <is>
          <t>W06-04</t>
        </is>
      </c>
      <c r="C8" s="20" t="inlineStr">
        <is>
          <t>Kiểm tra</t>
        </is>
      </c>
      <c r="D8" s="21" t="inlineStr">
        <is>
          <t>Theo dõi GSC Enhancements</t>
        </is>
      </c>
      <c r="E8" s="20" t="inlineStr">
        <is>
          <t>GSC → Shopping/Product snippets, Breadcrumbs: kiểm tra lỗi, Validate fix.</t>
        </is>
      </c>
      <c r="F8" s="20" t="inlineStr">
        <is>
          <t>GSC</t>
        </is>
      </c>
      <c r="G8" s="22" t="inlineStr">
        <is>
          <t>SEO</t>
        </is>
      </c>
      <c r="H8" s="20" t="inlineStr">
        <is>
          <t>P1</t>
        </is>
      </c>
      <c r="I8" s="24" t="n">
        <v>46341</v>
      </c>
      <c r="J8" s="22" t="inlineStr">
        <is>
          <t>Chưa làm</t>
        </is>
      </c>
      <c r="K8" s="20" t="inlineStr">
        <is>
          <t>Không lỗi nghiêm trọng trong Enhancements</t>
        </is>
      </c>
      <c r="L8" s="20" t="inlineStr">
        <is>
          <t>Strategy 09_KPI</t>
        </is>
      </c>
      <c r="M8" s="24" t="n"/>
      <c r="N8" s="22" t="n"/>
    </row>
  </sheetData>
  <autoFilter ref="A4:N8"/>
  <conditionalFormatting sqref="A5:N28">
    <cfRule type="expression" priority="1" dxfId="0">
      <formula>$J5="Xong"</formula>
    </cfRule>
    <cfRule type="expression" priority="2" dxfId="1">
      <formula>$J5="Đang làm"</formula>
    </cfRule>
    <cfRule type="expression" priority="3" dxfId="2">
      <formula>$J5="Chờ duyệt"</formula>
    </cfRule>
    <cfRule type="expression" priority="4" dxfId="3">
      <formula>$J5="Vướng"</formula>
    </cfRule>
  </conditionalFormatting>
  <dataValidations count="2">
    <dataValidation sqref="J5:J28" showDropDown="0" showInputMessage="0" showErrorMessage="0" allowBlank="1" type="list">
      <formula1>"Chưa làm,Đang làm,Chờ duyệt,Xong,Vướng"</formula1>
    </dataValidation>
    <dataValidation sqref="H5:H28" showDropDown="0" showInputMessage="0" showErrorMessage="0" allowBlank="1" type="list">
      <formula1>"P0,P1,P2"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34" customWidth="1" min="4" max="4"/>
    <col width="62" customWidth="1" min="5" max="5"/>
    <col width="30" customWidth="1" min="6" max="6"/>
    <col width="15" customWidth="1" min="7" max="7"/>
    <col width="8" customWidth="1" min="8" max="8"/>
    <col width="11" customWidth="1" min="9" max="9"/>
    <col width="12" customWidth="1" min="10" max="10"/>
    <col width="34" customWidth="1" min="11" max="11"/>
    <col width="24" customWidth="1" min="12" max="12"/>
    <col width="11" customWidth="1" min="13" max="13"/>
    <col width="30" customWidth="1" min="14" max="14"/>
  </cols>
  <sheetData>
    <row r="1">
      <c r="A1" s="5" t="inlineStr">
        <is>
          <t>Tuần 7 (16/11 – 22/11/2026) · Tháng 2: Sitemap, menu, nội dung danh mục</t>
        </is>
      </c>
    </row>
    <row r="2">
      <c r="A2" s="17" t="inlineStr">
        <is>
          <t>Tiến độ:</t>
        </is>
      </c>
      <c r="C2" s="18">
        <f>IFERROR(COUNTIF(J5:J28,"Xong")/COUNTA(B5:B28),0)</f>
        <v/>
      </c>
      <c r="D2" s="19">
        <f>COUNTIF(J5:J28,"Xong")&amp;" / "&amp;COUNTA(B5:B28)&amp;" task xong · "&amp;COUNTIF(J5:J28,"Vướng")&amp;" task vướng"</f>
        <v/>
      </c>
    </row>
    <row r="4" ht="30" customHeight="1">
      <c r="A4" s="6" t="inlineStr">
        <is>
          <t>STT</t>
        </is>
      </c>
      <c r="B4" s="6" t="inlineStr">
        <is>
          <t>Mã task</t>
        </is>
      </c>
      <c r="C4" s="6" t="inlineStr">
        <is>
          <t>Hạng mục</t>
        </is>
      </c>
      <c r="D4" s="6" t="inlineStr">
        <is>
          <t>Đầu việc</t>
        </is>
      </c>
      <c r="E4" s="6" t="inlineStr">
        <is>
          <t>Các bước thực hiện</t>
        </is>
      </c>
      <c r="F4" s="6" t="inlineStr">
        <is>
          <t>URL / phạm vi</t>
        </is>
      </c>
      <c r="G4" s="6" t="inlineStr">
        <is>
          <t>Phụ trách</t>
        </is>
      </c>
      <c r="H4" s="6" t="inlineStr">
        <is>
          <t>Ưu tiên</t>
        </is>
      </c>
      <c r="I4" s="6" t="inlineStr">
        <is>
          <t>Hạn chót</t>
        </is>
      </c>
      <c r="J4" s="6" t="inlineStr">
        <is>
          <t>Trạng thái</t>
        </is>
      </c>
      <c r="K4" s="6" t="inlineStr">
        <is>
          <t>Tiêu chí hoàn thành</t>
        </is>
      </c>
      <c r="L4" s="6" t="inlineStr">
        <is>
          <t>Nguồn</t>
        </is>
      </c>
      <c r="M4" s="6" t="inlineStr">
        <is>
          <t>Ngày xong</t>
        </is>
      </c>
      <c r="N4" s="6" t="inlineStr">
        <is>
          <t>Ghi chú / link bằng chứng</t>
        </is>
      </c>
    </row>
    <row r="5" ht="45" customHeight="1">
      <c r="A5" s="20" t="n">
        <v>1</v>
      </c>
      <c r="B5" s="20" t="inlineStr">
        <is>
          <t>W07-01</t>
        </is>
      </c>
      <c r="C5" s="20" t="inlineStr">
        <is>
          <t>Kỹ thuật</t>
        </is>
      </c>
      <c r="D5" s="21" t="inlineStr">
        <is>
          <t>Sitemap tự cập nhật có lastmod</t>
        </is>
      </c>
      <c r="E5" s="20" t="inlineStr">
        <is>
          <t>Sitemap sinh động từ DB: chỉ URL index được, có &lt;lastmod&gt;. Không chứa URL noindex/301.</t>
        </is>
      </c>
      <c r="F5" s="20" t="inlineStr">
        <is>
          <t>sitemap.xml</t>
        </is>
      </c>
      <c r="G5" s="22" t="inlineStr">
        <is>
          <t>Dev</t>
        </is>
      </c>
      <c r="H5" s="20" t="inlineStr">
        <is>
          <t>P1</t>
        </is>
      </c>
      <c r="I5" s="24" t="n">
        <v>46344</v>
      </c>
      <c r="J5" s="22" t="inlineStr">
        <is>
          <t>Chưa làm</t>
        </is>
      </c>
      <c r="K5" s="20" t="inlineStr">
        <is>
          <t>Sitemap có lastmod; GSC đọc Success</t>
        </is>
      </c>
      <c r="L5" s="20" t="inlineStr">
        <is>
          <t>Audit mục 1</t>
        </is>
      </c>
      <c r="M5" s="24" t="n"/>
      <c r="N5" s="22" t="n"/>
    </row>
    <row r="6" ht="45" customHeight="1">
      <c r="A6" s="20" t="n">
        <v>2</v>
      </c>
      <c r="B6" s="20" t="inlineStr">
        <is>
          <t>W07-02</t>
        </is>
      </c>
      <c r="C6" s="20" t="inlineStr">
        <is>
          <t>Cấu trúc</t>
        </is>
      </c>
      <c r="D6" s="21" t="inlineStr">
        <is>
          <t>Cập nhật menu theo 04_Menu_DLN</t>
        </is>
      </c>
      <c r="E6" s="20" t="inlineStr">
        <is>
          <t>Menu mới: Đồ bơi nữ (Liền thân, 2 mảnh, Kín đáo), Trẻ em, Áo phao &amp; quần trợ nổi, Combo, Học bơi, Công nghệ phao nổi, Về CARÉTTA, Hỗ trợ. Ẩn Nam.</t>
        </is>
      </c>
      <c r="F6" s="20" t="inlineStr">
        <is>
          <t>Header</t>
        </is>
      </c>
      <c r="G6" s="22" t="inlineStr">
        <is>
          <t>Dev</t>
        </is>
      </c>
      <c r="H6" s="23" t="inlineStr">
        <is>
          <t>P0</t>
        </is>
      </c>
      <c r="I6" s="24" t="n">
        <v>46345</v>
      </c>
      <c r="J6" s="22" t="inlineStr">
        <is>
          <t>Chưa làm</t>
        </is>
      </c>
      <c r="K6" s="20" t="inlineStr">
        <is>
          <t>Menu live đúng cấu trúc</t>
        </is>
      </c>
      <c r="L6" s="20" t="inlineStr">
        <is>
          <t>Strategy 04_Menu</t>
        </is>
      </c>
      <c r="M6" s="24" t="n"/>
      <c r="N6" s="22" t="n"/>
    </row>
    <row r="7" ht="45" customHeight="1">
      <c r="A7" s="20" t="n">
        <v>3</v>
      </c>
      <c r="B7" s="20" t="inlineStr">
        <is>
          <t>W07-03</t>
        </is>
      </c>
      <c r="C7" s="20" t="inlineStr">
        <is>
          <t>Nội dung</t>
        </is>
      </c>
      <c r="D7" s="21" t="inlineStr">
        <is>
          <t>Viết 200–300 chữ giới thiệu cho danh mục</t>
        </is>
      </c>
      <c r="E7" s="20" t="inlineStr">
        <is>
          <t>KD01 /do-boi-co-phao/, KD02 /do-boi-nu/, KD03 /do-boi-tre-em/, KD07 /ao-phao-tap-boi/, KD08 /do-boi-nu/kin-dao/: đoạn mở đầu, bảng lực nâng, FAQ ngắn. Luôn ghi 'không phải thiết bị cứu sinh'.</t>
        </is>
      </c>
      <c r="F7" s="20" t="inlineStr">
        <is>
          <t>5 trang danh mục</t>
        </is>
      </c>
      <c r="G7" s="22" t="inlineStr">
        <is>
          <t>Content</t>
        </is>
      </c>
      <c r="H7" s="23" t="inlineStr">
        <is>
          <t>P0</t>
        </is>
      </c>
      <c r="I7" s="24" t="n">
        <v>46347</v>
      </c>
      <c r="J7" s="22" t="inlineStr">
        <is>
          <t>Chưa làm</t>
        </is>
      </c>
      <c r="K7" s="20" t="inlineStr">
        <is>
          <t>5 đoạn nội dung live</t>
        </is>
      </c>
      <c r="L7" s="20" t="inlineStr">
        <is>
          <t>Strategy 05_20_Pillar</t>
        </is>
      </c>
      <c r="M7" s="24" t="n"/>
      <c r="N7" s="22" t="n"/>
    </row>
    <row r="8" ht="45" customHeight="1">
      <c r="A8" s="20" t="n">
        <v>4</v>
      </c>
      <c r="B8" s="20" t="inlineStr">
        <is>
          <t>W07-04</t>
        </is>
      </c>
      <c r="C8" s="20" t="inlineStr">
        <is>
          <t>Liên kết</t>
        </is>
      </c>
      <c r="D8" s="21" t="inlineStr">
        <is>
          <t>Liên kết nội bộ trang chủ và footer</t>
        </is>
      </c>
      <c r="E8" s="20" t="inlineStr">
        <is>
          <t>Trang chủ link tới danh mục chính, /lo-trinh-hoc-boi/, /cong-nghe-phao-noi/. Footer: Bảo mật, Điều khoản, Đổi trả, FAQ.</t>
        </is>
      </c>
      <c r="F8" s="20" t="inlineStr">
        <is>
          <t>Trang chủ, footer</t>
        </is>
      </c>
      <c r="G8" s="22" t="inlineStr">
        <is>
          <t>Dev</t>
        </is>
      </c>
      <c r="H8" s="20" t="inlineStr">
        <is>
          <t>P1</t>
        </is>
      </c>
      <c r="I8" s="24" t="n">
        <v>46347</v>
      </c>
      <c r="J8" s="22" t="inlineStr">
        <is>
          <t>Chưa làm</t>
        </is>
      </c>
      <c r="K8" s="20" t="inlineStr">
        <is>
          <t>Mỗi trang quan trọng ≥ 3 link vào</t>
        </is>
      </c>
      <c r="L8" s="20" t="inlineStr">
        <is>
          <t>Strategy 08_Internal_Link</t>
        </is>
      </c>
      <c r="M8" s="24" t="n"/>
      <c r="N8" s="22" t="n"/>
    </row>
  </sheetData>
  <autoFilter ref="A4:N8"/>
  <conditionalFormatting sqref="A5:N28">
    <cfRule type="expression" priority="1" dxfId="0">
      <formula>$J5="Xong"</formula>
    </cfRule>
    <cfRule type="expression" priority="2" dxfId="1">
      <formula>$J5="Đang làm"</formula>
    </cfRule>
    <cfRule type="expression" priority="3" dxfId="2">
      <formula>$J5="Chờ duyệt"</formula>
    </cfRule>
    <cfRule type="expression" priority="4" dxfId="3">
      <formula>$J5="Vướng"</formula>
    </cfRule>
  </conditionalFormatting>
  <dataValidations count="2">
    <dataValidation sqref="J5:J28" showDropDown="0" showInputMessage="0" showErrorMessage="0" allowBlank="1" type="list">
      <formula1>"Chưa làm,Đang làm,Chờ duyệt,Xong,Vướng"</formula1>
    </dataValidation>
    <dataValidation sqref="H5:H28" showDropDown="0" showInputMessage="0" showErrorMessage="0" allowBlank="1" type="list">
      <formula1>"P0,P1,P2"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34" customWidth="1" min="4" max="4"/>
    <col width="62" customWidth="1" min="5" max="5"/>
    <col width="30" customWidth="1" min="6" max="6"/>
    <col width="15" customWidth="1" min="7" max="7"/>
    <col width="8" customWidth="1" min="8" max="8"/>
    <col width="11" customWidth="1" min="9" max="9"/>
    <col width="12" customWidth="1" min="10" max="10"/>
    <col width="34" customWidth="1" min="11" max="11"/>
    <col width="24" customWidth="1" min="12" max="12"/>
    <col width="11" customWidth="1" min="13" max="13"/>
    <col width="30" customWidth="1" min="14" max="14"/>
  </cols>
  <sheetData>
    <row r="1">
      <c r="A1" s="5" t="inlineStr">
        <is>
          <t>Tuần 8 (23/11 – 29/11/2026) · Tháng 2: Merchant Center + tổng kết tháng 2</t>
        </is>
      </c>
    </row>
    <row r="2">
      <c r="A2" s="17" t="inlineStr">
        <is>
          <t>Tiến độ:</t>
        </is>
      </c>
      <c r="C2" s="18">
        <f>IFERROR(COUNTIF(J5:J27,"Xong")/COUNTA(B5:B27),0)</f>
        <v/>
      </c>
      <c r="D2" s="19">
        <f>COUNTIF(J5:J27,"Xong")&amp;" / "&amp;COUNTA(B5:B27)&amp;" task xong · "&amp;COUNTIF(J5:J27,"Vướng")&amp;" task vướng"</f>
        <v/>
      </c>
    </row>
    <row r="4" ht="30" customHeight="1">
      <c r="A4" s="6" t="inlineStr">
        <is>
          <t>STT</t>
        </is>
      </c>
      <c r="B4" s="6" t="inlineStr">
        <is>
          <t>Mã task</t>
        </is>
      </c>
      <c r="C4" s="6" t="inlineStr">
        <is>
          <t>Hạng mục</t>
        </is>
      </c>
      <c r="D4" s="6" t="inlineStr">
        <is>
          <t>Đầu việc</t>
        </is>
      </c>
      <c r="E4" s="6" t="inlineStr">
        <is>
          <t>Các bước thực hiện</t>
        </is>
      </c>
      <c r="F4" s="6" t="inlineStr">
        <is>
          <t>URL / phạm vi</t>
        </is>
      </c>
      <c r="G4" s="6" t="inlineStr">
        <is>
          <t>Phụ trách</t>
        </is>
      </c>
      <c r="H4" s="6" t="inlineStr">
        <is>
          <t>Ưu tiên</t>
        </is>
      </c>
      <c r="I4" s="6" t="inlineStr">
        <is>
          <t>Hạn chót</t>
        </is>
      </c>
      <c r="J4" s="6" t="inlineStr">
        <is>
          <t>Trạng thái</t>
        </is>
      </c>
      <c r="K4" s="6" t="inlineStr">
        <is>
          <t>Tiêu chí hoàn thành</t>
        </is>
      </c>
      <c r="L4" s="6" t="inlineStr">
        <is>
          <t>Nguồn</t>
        </is>
      </c>
      <c r="M4" s="6" t="inlineStr">
        <is>
          <t>Ngày xong</t>
        </is>
      </c>
      <c r="N4" s="6" t="inlineStr">
        <is>
          <t>Ghi chú / link bằng chứng</t>
        </is>
      </c>
    </row>
    <row r="5" ht="45" customHeight="1">
      <c r="A5" s="20" t="n">
        <v>1</v>
      </c>
      <c r="B5" s="20" t="inlineStr">
        <is>
          <t>W08-01</t>
        </is>
      </c>
      <c r="C5" s="20" t="inlineStr">
        <is>
          <t>Bán hàng</t>
        </is>
      </c>
      <c r="D5" s="21" t="inlineStr">
        <is>
          <t>Google Merchant Center (cần chủ shop xác nhận)</t>
        </is>
      </c>
      <c r="E5" s="20" t="inlineStr">
        <is>
          <t>Tạo tài khoản, xác minh caretta.vn, bật free listings, nguồn sản phẩm từ schema hoặc feed. Kiểm tra lỗi sản phẩm.</t>
        </is>
      </c>
      <c r="F5" s="20" t="inlineStr">
        <is>
          <t>14 sản phẩm</t>
        </is>
      </c>
      <c r="G5" s="22" t="inlineStr">
        <is>
          <t>Chủ shop + SEO</t>
        </is>
      </c>
      <c r="H5" s="20" t="inlineStr">
        <is>
          <t>P1</t>
        </is>
      </c>
      <c r="I5" s="24" t="n">
        <v>46352</v>
      </c>
      <c r="J5" s="22" t="inlineStr">
        <is>
          <t>Chưa làm</t>
        </is>
      </c>
      <c r="K5" s="20" t="inlineStr">
        <is>
          <t>Sản phẩm trạng thái Approved</t>
        </is>
      </c>
      <c r="L5" s="20" t="inlineStr">
        <is>
          <t>Strategy 07_Roadmap T2</t>
        </is>
      </c>
      <c r="M5" s="24" t="n"/>
      <c r="N5" s="22" t="n"/>
    </row>
    <row r="6" ht="45" customHeight="1">
      <c r="A6" s="20" t="n">
        <v>2</v>
      </c>
      <c r="B6" s="20" t="inlineStr">
        <is>
          <t>W08-02</t>
        </is>
      </c>
      <c r="C6" s="20" t="inlineStr">
        <is>
          <t>Chuyển đổi</t>
        </is>
      </c>
      <c r="D6" s="21" t="inlineStr">
        <is>
          <t>Nút Zalo tư vấn size trên trang sản phẩm</t>
        </is>
      </c>
      <c r="E6" s="20" t="inlineStr">
        <is>
          <t>Nút nổi trên mobile, không che nút Mua. Gắn sự kiện GA4 click_zalo.</t>
        </is>
      </c>
      <c r="F6" s="20" t="inlineStr">
        <is>
          <t>14 URL sản phẩm</t>
        </is>
      </c>
      <c r="G6" s="22" t="inlineStr">
        <is>
          <t>Dev</t>
        </is>
      </c>
      <c r="H6" s="20" t="inlineStr">
        <is>
          <t>P1</t>
        </is>
      </c>
      <c r="I6" s="24" t="n">
        <v>46353</v>
      </c>
      <c r="J6" s="22" t="inlineStr">
        <is>
          <t>Chưa làm</t>
        </is>
      </c>
      <c r="K6" s="20" t="inlineStr">
        <is>
          <t>Nút hiện trên mobile, sự kiện có trong GA4</t>
        </is>
      </c>
      <c r="L6" s="20" t="inlineStr">
        <is>
          <t>Strategy 07_Roadmap T2</t>
        </is>
      </c>
      <c r="M6" s="24" t="n"/>
      <c r="N6" s="22" t="n"/>
    </row>
    <row r="7" ht="45" customHeight="1">
      <c r="A7" s="20" t="n">
        <v>3</v>
      </c>
      <c r="B7" s="20" t="inlineStr">
        <is>
          <t>W08-03</t>
        </is>
      </c>
      <c r="C7" s="20" t="inlineStr">
        <is>
          <t>Kiểm tra</t>
        </is>
      </c>
      <c r="D7" s="21" t="inlineStr">
        <is>
          <t>Tổng kết tháng 2</t>
        </is>
      </c>
      <c r="E7" s="20" t="inlineStr">
        <is>
          <t>PageSpeed 5 URL; GSC Pages + Enhancements; số URL danh mục index; cập nhật KPI M2.</t>
        </is>
      </c>
      <c r="F7" s="20" t="inlineStr">
        <is>
          <t>Toàn site</t>
        </is>
      </c>
      <c r="G7" s="22" t="inlineStr">
        <is>
          <t>SEO</t>
        </is>
      </c>
      <c r="H7" s="23" t="inlineStr">
        <is>
          <t>P0</t>
        </is>
      </c>
      <c r="I7" s="24" t="n">
        <v>46355</v>
      </c>
      <c r="J7" s="22" t="inlineStr">
        <is>
          <t>Chưa làm</t>
        </is>
      </c>
      <c r="K7" s="20" t="inlineStr">
        <is>
          <t>Báo cáo tháng 2 đã gửi</t>
        </is>
      </c>
      <c r="L7" s="20" t="inlineStr">
        <is>
          <t>Strategy 09_KPI M2</t>
        </is>
      </c>
      <c r="M7" s="24" t="n"/>
      <c r="N7" s="22" t="n"/>
    </row>
  </sheetData>
  <autoFilter ref="A4:N7"/>
  <conditionalFormatting sqref="A5:N27">
    <cfRule type="expression" priority="1" dxfId="0">
      <formula>$J5="Xong"</formula>
    </cfRule>
    <cfRule type="expression" priority="2" dxfId="1">
      <formula>$J5="Đang làm"</formula>
    </cfRule>
    <cfRule type="expression" priority="3" dxfId="2">
      <formula>$J5="Chờ duyệt"</formula>
    </cfRule>
    <cfRule type="expression" priority="4" dxfId="3">
      <formula>$J5="Vướng"</formula>
    </cfRule>
  </conditionalFormatting>
  <dataValidations count="2">
    <dataValidation sqref="J5:J27" showDropDown="0" showInputMessage="0" showErrorMessage="0" allowBlank="1" type="list">
      <formula1>"Chưa làm,Đang làm,Chờ duyệt,Xong,Vướng"</formula1>
    </dataValidation>
    <dataValidation sqref="H5:H27" showDropDown="0" showInputMessage="0" showErrorMessage="0" allowBlank="1" type="list">
      <formula1>"P0,P1,P2"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34" customWidth="1" min="4" max="4"/>
    <col width="62" customWidth="1" min="5" max="5"/>
    <col width="30" customWidth="1" min="6" max="6"/>
    <col width="15" customWidth="1" min="7" max="7"/>
    <col width="8" customWidth="1" min="8" max="8"/>
    <col width="11" customWidth="1" min="9" max="9"/>
    <col width="12" customWidth="1" min="10" max="10"/>
    <col width="34" customWidth="1" min="11" max="11"/>
    <col width="24" customWidth="1" min="12" max="12"/>
    <col width="11" customWidth="1" min="13" max="13"/>
    <col width="30" customWidth="1" min="14" max="14"/>
  </cols>
  <sheetData>
    <row r="1">
      <c r="A1" s="5" t="inlineStr">
        <is>
          <t>Tuần 9 (30/11 – 06/12/2026) · Tháng 3: Tốc độ: tối ưu ảnh</t>
        </is>
      </c>
    </row>
    <row r="2">
      <c r="A2" s="17" t="inlineStr">
        <is>
          <t>Tiến độ:</t>
        </is>
      </c>
      <c r="C2" s="18">
        <f>IFERROR(COUNTIF(J5:J28,"Xong")/COUNTA(B5:B28),0)</f>
        <v/>
      </c>
      <c r="D2" s="19">
        <f>COUNTIF(J5:J28,"Xong")&amp;" / "&amp;COUNTA(B5:B28)&amp;" task xong · "&amp;COUNTIF(J5:J28,"Vướng")&amp;" task vướng"</f>
        <v/>
      </c>
    </row>
    <row r="4" ht="30" customHeight="1">
      <c r="A4" s="6" t="inlineStr">
        <is>
          <t>STT</t>
        </is>
      </c>
      <c r="B4" s="6" t="inlineStr">
        <is>
          <t>Mã task</t>
        </is>
      </c>
      <c r="C4" s="6" t="inlineStr">
        <is>
          <t>Hạng mục</t>
        </is>
      </c>
      <c r="D4" s="6" t="inlineStr">
        <is>
          <t>Đầu việc</t>
        </is>
      </c>
      <c r="E4" s="6" t="inlineStr">
        <is>
          <t>Các bước thực hiện</t>
        </is>
      </c>
      <c r="F4" s="6" t="inlineStr">
        <is>
          <t>URL / phạm vi</t>
        </is>
      </c>
      <c r="G4" s="6" t="inlineStr">
        <is>
          <t>Phụ trách</t>
        </is>
      </c>
      <c r="H4" s="6" t="inlineStr">
        <is>
          <t>Ưu tiên</t>
        </is>
      </c>
      <c r="I4" s="6" t="inlineStr">
        <is>
          <t>Hạn chót</t>
        </is>
      </c>
      <c r="J4" s="6" t="inlineStr">
        <is>
          <t>Trạng thái</t>
        </is>
      </c>
      <c r="K4" s="6" t="inlineStr">
        <is>
          <t>Tiêu chí hoàn thành</t>
        </is>
      </c>
      <c r="L4" s="6" t="inlineStr">
        <is>
          <t>Nguồn</t>
        </is>
      </c>
      <c r="M4" s="6" t="inlineStr">
        <is>
          <t>Ngày xong</t>
        </is>
      </c>
      <c r="N4" s="6" t="inlineStr">
        <is>
          <t>Ghi chú / link bằng chứng</t>
        </is>
      </c>
    </row>
    <row r="5" ht="45" customHeight="1">
      <c r="A5" s="20" t="n">
        <v>1</v>
      </c>
      <c r="B5" s="20" t="inlineStr">
        <is>
          <t>W09-01</t>
        </is>
      </c>
      <c r="C5" s="20" t="inlineStr">
        <is>
          <t>Hiệu năng</t>
        </is>
      </c>
      <c r="D5" s="21" t="inlineStr">
        <is>
          <t>Nén và đổi định dạng ảnh tĩnh</t>
        </is>
      </c>
      <c r="E5" s="20" t="inlineStr">
        <is>
          <t>dual flex.png 3,7 MB, collection.png 2,4 MB, phone home 2.png 2,2 MB, phone home.png 1,7 MB, eva fit.png 1,3 MB... → WebP/AVIF, rộng tối đa 1600px (thẻ sản phẩm 800px), dùng srcset/sizes.</t>
        </is>
      </c>
      <c r="F5" s="20" t="inlineStr">
        <is>
          <t>Trang chủ + danh mục</t>
        </is>
      </c>
      <c r="G5" s="22" t="inlineStr">
        <is>
          <t>Dev</t>
        </is>
      </c>
      <c r="H5" s="23" t="inlineStr">
        <is>
          <t>P0</t>
        </is>
      </c>
      <c r="I5" s="24" t="n">
        <v>46359</v>
      </c>
      <c r="J5" s="22" t="inlineStr">
        <is>
          <t>Chưa làm</t>
        </is>
      </c>
      <c r="K5" s="20" t="inlineStr">
        <is>
          <t>Trang chủ &lt; 2 MB</t>
        </is>
      </c>
      <c r="L5" s="20" t="inlineStr">
        <is>
          <t>Audit mục 2</t>
        </is>
      </c>
      <c r="M5" s="24" t="n"/>
      <c r="N5" s="22" t="n"/>
    </row>
    <row r="6" ht="45" customHeight="1">
      <c r="A6" s="20" t="n">
        <v>2</v>
      </c>
      <c r="B6" s="20" t="inlineStr">
        <is>
          <t>W09-02</t>
        </is>
      </c>
      <c r="C6" s="20" t="inlineStr">
        <is>
          <t>Hiệu năng</t>
        </is>
      </c>
      <c r="D6" s="21" t="inlineStr">
        <is>
          <t>Ảnh sản phẩm trên Supabase</t>
        </is>
      </c>
      <c r="E6" s="20" t="inlineStr">
        <is>
          <t>Dùng Supabase Image Transformations (width, quality) hoặc resize trước khi upload. Mỗi ảnh &lt; 150 KB.</t>
        </is>
      </c>
      <c r="F6" s="20" t="inlineStr">
        <is>
          <t>Ảnh sản phẩm</t>
        </is>
      </c>
      <c r="G6" s="22" t="inlineStr">
        <is>
          <t>Dev</t>
        </is>
      </c>
      <c r="H6" s="23" t="inlineStr">
        <is>
          <t>P0</t>
        </is>
      </c>
      <c r="I6" s="24" t="n">
        <v>46360</v>
      </c>
      <c r="J6" s="22" t="inlineStr">
        <is>
          <t>Chưa làm</t>
        </is>
      </c>
      <c r="K6" s="20" t="inlineStr">
        <is>
          <t>Trang sản phẩm &lt; 1,5 MB</t>
        </is>
      </c>
      <c r="L6" s="20" t="inlineStr">
        <is>
          <t>Audit mục 2</t>
        </is>
      </c>
      <c r="M6" s="24" t="n"/>
      <c r="N6" s="22" t="n"/>
    </row>
    <row r="7" ht="45" customHeight="1">
      <c r="A7" s="20" t="n">
        <v>3</v>
      </c>
      <c r="B7" s="20" t="inlineStr">
        <is>
          <t>W09-03</t>
        </is>
      </c>
      <c r="C7" s="20" t="inlineStr">
        <is>
          <t>Hiệu năng</t>
        </is>
      </c>
      <c r="D7" s="21" t="inlineStr">
        <is>
          <t>Cache dài hạn + width/height + lazy-load</t>
        </is>
      </c>
      <c r="E7" s="20" t="inlineStr">
        <is>
          <t>Cache-Control: public, max-age=31536000, immutable cho ảnh có version. Khai báo width/height mọi ảnh. loading=lazy cho ảnh dưới màn hình đầu; ảnh LCP fetchpriority=high.</t>
        </is>
      </c>
      <c r="F7" s="20" t="inlineStr">
        <is>
          <t>Toàn site</t>
        </is>
      </c>
      <c r="G7" s="22" t="inlineStr">
        <is>
          <t>Dev</t>
        </is>
      </c>
      <c r="H7" s="23" t="inlineStr">
        <is>
          <t>P0</t>
        </is>
      </c>
      <c r="I7" s="24" t="n">
        <v>46361</v>
      </c>
      <c r="J7" s="22" t="inlineStr">
        <is>
          <t>Chưa làm</t>
        </is>
      </c>
      <c r="K7" s="20" t="inlineStr">
        <is>
          <t>PageSpeed không còn cảnh báo cache và kích thước ảnh</t>
        </is>
      </c>
      <c r="L7" s="20" t="inlineStr">
        <is>
          <t>Audit mục 2</t>
        </is>
      </c>
      <c r="M7" s="24" t="n"/>
      <c r="N7" s="22" t="n"/>
    </row>
    <row r="8" ht="45" customHeight="1">
      <c r="A8" s="20" t="n">
        <v>4</v>
      </c>
      <c r="B8" s="20" t="inlineStr">
        <is>
          <t>W09-04</t>
        </is>
      </c>
      <c r="C8" s="20" t="inlineStr">
        <is>
          <t>Hình ảnh</t>
        </is>
      </c>
      <c r="D8" s="21" t="inlineStr">
        <is>
          <t>Đổi tên tệp và bổ sung alt</t>
        </is>
      </c>
      <c r="E8" s="20" t="inlineStr">
        <is>
          <t>Tên tệp không dấu cách: ao-phao-boi-challenger-light.webp. Thêm alt cho 4 ảnh trang sản phẩm + 1 ảnh danh mục.</t>
        </is>
      </c>
      <c r="F8" s="20" t="inlineStr">
        <is>
          <t>Ảnh sản phẩm, danh mục</t>
        </is>
      </c>
      <c r="G8" s="22" t="inlineStr">
        <is>
          <t>Dev + Content</t>
        </is>
      </c>
      <c r="H8" s="20" t="inlineStr">
        <is>
          <t>P1</t>
        </is>
      </c>
      <c r="I8" s="24" t="n">
        <v>46361</v>
      </c>
      <c r="J8" s="22" t="inlineStr">
        <is>
          <t>Chưa làm</t>
        </is>
      </c>
      <c r="K8" s="20" t="inlineStr">
        <is>
          <t>0 ảnh thiếu alt</t>
        </is>
      </c>
      <c r="L8" s="20" t="inlineStr">
        <is>
          <t>Audit mục 7</t>
        </is>
      </c>
      <c r="M8" s="24" t="n"/>
      <c r="N8" s="22" t="n"/>
    </row>
  </sheetData>
  <autoFilter ref="A4:N8"/>
  <conditionalFormatting sqref="A5:N28">
    <cfRule type="expression" priority="1" dxfId="0">
      <formula>$J5="Xong"</formula>
    </cfRule>
    <cfRule type="expression" priority="2" dxfId="1">
      <formula>$J5="Đang làm"</formula>
    </cfRule>
    <cfRule type="expression" priority="3" dxfId="2">
      <formula>$J5="Chờ duyệt"</formula>
    </cfRule>
    <cfRule type="expression" priority="4" dxfId="3">
      <formula>$J5="Vướng"</formula>
    </cfRule>
  </conditionalFormatting>
  <dataValidations count="2">
    <dataValidation sqref="J5:J28" showDropDown="0" showInputMessage="0" showErrorMessage="0" allowBlank="1" type="list">
      <formula1>"Chưa làm,Đang làm,Chờ duyệt,Xong,Vướng"</formula1>
    </dataValidation>
    <dataValidation sqref="H5:H28" showDropDown="0" showInputMessage="0" showErrorMessage="0" allowBlank="1" type="list">
      <formula1>"P0,P1,P2"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34" customWidth="1" min="4" max="4"/>
    <col width="62" customWidth="1" min="5" max="5"/>
    <col width="30" customWidth="1" min="6" max="6"/>
    <col width="15" customWidth="1" min="7" max="7"/>
    <col width="8" customWidth="1" min="8" max="8"/>
    <col width="11" customWidth="1" min="9" max="9"/>
    <col width="12" customWidth="1" min="10" max="10"/>
    <col width="34" customWidth="1" min="11" max="11"/>
    <col width="24" customWidth="1" min="12" max="12"/>
    <col width="11" customWidth="1" min="13" max="13"/>
    <col width="30" customWidth="1" min="14" max="14"/>
  </cols>
  <sheetData>
    <row r="1">
      <c r="A1" s="5" t="inlineStr">
        <is>
          <t>Tuần 10 (07/12 – 13/12/2026) · Tháng 3: Tốc độ: render-blocking + đo lại</t>
        </is>
      </c>
    </row>
    <row r="2">
      <c r="A2" s="17" t="inlineStr">
        <is>
          <t>Tiến độ:</t>
        </is>
      </c>
      <c r="C2" s="18">
        <f>IFERROR(COUNTIF(J5:J28,"Xong")/COUNTA(B5:B28),0)</f>
        <v/>
      </c>
      <c r="D2" s="19">
        <f>COUNTIF(J5:J28,"Xong")&amp;" / "&amp;COUNTA(B5:B28)&amp;" task xong · "&amp;COUNTIF(J5:J28,"Vướng")&amp;" task vướng"</f>
        <v/>
      </c>
    </row>
    <row r="4" ht="30" customHeight="1">
      <c r="A4" s="6" t="inlineStr">
        <is>
          <t>STT</t>
        </is>
      </c>
      <c r="B4" s="6" t="inlineStr">
        <is>
          <t>Mã task</t>
        </is>
      </c>
      <c r="C4" s="6" t="inlineStr">
        <is>
          <t>Hạng mục</t>
        </is>
      </c>
      <c r="D4" s="6" t="inlineStr">
        <is>
          <t>Đầu việc</t>
        </is>
      </c>
      <c r="E4" s="6" t="inlineStr">
        <is>
          <t>Các bước thực hiện</t>
        </is>
      </c>
      <c r="F4" s="6" t="inlineStr">
        <is>
          <t>URL / phạm vi</t>
        </is>
      </c>
      <c r="G4" s="6" t="inlineStr">
        <is>
          <t>Phụ trách</t>
        </is>
      </c>
      <c r="H4" s="6" t="inlineStr">
        <is>
          <t>Ưu tiên</t>
        </is>
      </c>
      <c r="I4" s="6" t="inlineStr">
        <is>
          <t>Hạn chót</t>
        </is>
      </c>
      <c r="J4" s="6" t="inlineStr">
        <is>
          <t>Trạng thái</t>
        </is>
      </c>
      <c r="K4" s="6" t="inlineStr">
        <is>
          <t>Tiêu chí hoàn thành</t>
        </is>
      </c>
      <c r="L4" s="6" t="inlineStr">
        <is>
          <t>Nguồn</t>
        </is>
      </c>
      <c r="M4" s="6" t="inlineStr">
        <is>
          <t>Ngày xong</t>
        </is>
      </c>
      <c r="N4" s="6" t="inlineStr">
        <is>
          <t>Ghi chú / link bằng chứng</t>
        </is>
      </c>
    </row>
    <row r="5" ht="45" customHeight="1">
      <c r="A5" s="20" t="n">
        <v>1</v>
      </c>
      <c r="B5" s="20" t="inlineStr">
        <is>
          <t>W10-01</t>
        </is>
      </c>
      <c r="C5" s="20" t="inlineStr">
        <is>
          <t>Hiệu năng</t>
        </is>
      </c>
      <c r="D5" s="21" t="inlineStr">
        <is>
          <t>Tự host font và bỏ CSS chặn render</t>
        </is>
      </c>
      <c r="E5" s="20" t="inlineStr">
        <is>
          <t>Tải Google Fonts về server, font-display: swap, preload font chính. Inline CSS quan trọng phía trên màn hình, defer phần còn lại.</t>
        </is>
      </c>
      <c r="F5" s="20" t="inlineStr">
        <is>
          <t>Toàn site</t>
        </is>
      </c>
      <c r="G5" s="22" t="inlineStr">
        <is>
          <t>Dev</t>
        </is>
      </c>
      <c r="H5" s="23" t="inlineStr">
        <is>
          <t>P0</t>
        </is>
      </c>
      <c r="I5" s="24" t="n">
        <v>46366</v>
      </c>
      <c r="J5" s="22" t="inlineStr">
        <is>
          <t>Chưa làm</t>
        </is>
      </c>
      <c r="K5" s="20" t="inlineStr">
        <is>
          <t>PageSpeed không còn 'Eliminate render-blocking resources'</t>
        </is>
      </c>
      <c r="L5" s="20" t="inlineStr">
        <is>
          <t>Audit mục 2</t>
        </is>
      </c>
      <c r="M5" s="24" t="n"/>
      <c r="N5" s="22" t="n"/>
    </row>
    <row r="6" ht="45" customHeight="1">
      <c r="A6" s="20" t="n">
        <v>2</v>
      </c>
      <c r="B6" s="20" t="inlineStr">
        <is>
          <t>W10-02</t>
        </is>
      </c>
      <c r="C6" s="20" t="inlineStr">
        <is>
          <t>Hiệu năng</t>
        </is>
      </c>
      <c r="D6" s="21" t="inlineStr">
        <is>
          <t>Cho H1 hero hiện ngay</t>
        </is>
      </c>
      <c r="E6" s="20" t="inlineStr">
        <is>
          <t>Bỏ hiệu ứng ẩn/fade-in của H1 hero (đang là phần tử LCP).</t>
        </is>
      </c>
      <c r="F6" s="20" t="inlineStr">
        <is>
          <t>Trang chủ</t>
        </is>
      </c>
      <c r="G6" s="22" t="inlineStr">
        <is>
          <t>Dev</t>
        </is>
      </c>
      <c r="H6" s="23" t="inlineStr">
        <is>
          <t>P0</t>
        </is>
      </c>
      <c r="I6" s="24" t="n">
        <v>46366</v>
      </c>
      <c r="J6" s="22" t="inlineStr">
        <is>
          <t>Chưa làm</t>
        </is>
      </c>
      <c r="K6" s="20" t="inlineStr">
        <is>
          <t>FCP mobile &lt; 1,8 s</t>
        </is>
      </c>
      <c r="L6" s="20" t="inlineStr">
        <is>
          <t>Audit mục 2</t>
        </is>
      </c>
      <c r="M6" s="24" t="n"/>
      <c r="N6" s="22" t="n"/>
    </row>
    <row r="7" ht="45" customHeight="1">
      <c r="A7" s="20" t="n">
        <v>3</v>
      </c>
      <c r="B7" s="20" t="inlineStr">
        <is>
          <t>W10-03</t>
        </is>
      </c>
      <c r="C7" s="20" t="inlineStr">
        <is>
          <t>Hình ảnh</t>
        </is>
      </c>
      <c r="D7" s="21" t="inlineStr">
        <is>
          <t>Thay ảnh hero Unsplash bằng ảnh sản phẩm thật</t>
        </is>
      </c>
      <c r="E7" s="20" t="inlineStr">
        <is>
          <t>Chụp/chọn ảnh khách hoặc buổi học bơi thật, xuất WebP.</t>
        </is>
      </c>
      <c r="F7" s="20" t="inlineStr">
        <is>
          <t>Trang chủ</t>
        </is>
      </c>
      <c r="G7" s="22" t="inlineStr">
        <is>
          <t>Chủ shop + Content</t>
        </is>
      </c>
      <c r="H7" s="20" t="inlineStr">
        <is>
          <t>P1</t>
        </is>
      </c>
      <c r="I7" s="24" t="n">
        <v>46368</v>
      </c>
      <c r="J7" s="22" t="inlineStr">
        <is>
          <t>Chưa làm</t>
        </is>
      </c>
      <c r="K7" s="20" t="inlineStr">
        <is>
          <t>Không còn ảnh stock trên trang chủ</t>
        </is>
      </c>
      <c r="L7" s="20" t="inlineStr">
        <is>
          <t>Audit mục 7</t>
        </is>
      </c>
      <c r="M7" s="24" t="n"/>
      <c r="N7" s="22" t="n"/>
    </row>
    <row r="8" ht="45" customHeight="1">
      <c r="A8" s="20" t="n">
        <v>4</v>
      </c>
      <c r="B8" s="20" t="inlineStr">
        <is>
          <t>W10-04</t>
        </is>
      </c>
      <c r="C8" s="20" t="inlineStr">
        <is>
          <t>PageSpeed</t>
        </is>
      </c>
      <c r="D8" s="21" t="inlineStr">
        <is>
          <t>Đo lại PageSpeed Mobile + Desktop</t>
        </is>
      </c>
      <c r="E8" s="20" t="inlineStr">
        <is>
          <t>Đo 5 URL, ghi PageSpeed_Log, so với tuần 1. Mục tiêu: LCP mobile &lt; 2,5 s, điểm Performance ≥ 90. Nếu chưa đạt, ghi nguyên nhân còn lại cho Dev.</t>
        </is>
      </c>
      <c r="F8" s="20" t="inlineStr">
        <is>
          <t>5 URL</t>
        </is>
      </c>
      <c r="G8" s="22" t="inlineStr">
        <is>
          <t>SEO</t>
        </is>
      </c>
      <c r="H8" s="23" t="inlineStr">
        <is>
          <t>P0</t>
        </is>
      </c>
      <c r="I8" s="24" t="n">
        <v>46369</v>
      </c>
      <c r="J8" s="22" t="inlineStr">
        <is>
          <t>Chưa làm</t>
        </is>
      </c>
      <c r="K8" s="20" t="inlineStr">
        <is>
          <t>Có bảng so sánh trước/sau</t>
        </is>
      </c>
      <c r="L8" s="20" t="inlineStr">
        <is>
          <t>Strategy 09_KPI Tốc độ</t>
        </is>
      </c>
      <c r="M8" s="24" t="n"/>
      <c r="N8" s="22" t="n"/>
    </row>
  </sheetData>
  <autoFilter ref="A4:N8"/>
  <conditionalFormatting sqref="A5:N28">
    <cfRule type="expression" priority="1" dxfId="0">
      <formula>$J5="Xong"</formula>
    </cfRule>
    <cfRule type="expression" priority="2" dxfId="1">
      <formula>$J5="Đang làm"</formula>
    </cfRule>
    <cfRule type="expression" priority="3" dxfId="2">
      <formula>$J5="Chờ duyệt"</formula>
    </cfRule>
    <cfRule type="expression" priority="4" dxfId="3">
      <formula>$J5="Vướng"</formula>
    </cfRule>
  </conditionalFormatting>
  <dataValidations count="2">
    <dataValidation sqref="J5:J28" showDropDown="0" showInputMessage="0" showErrorMessage="0" allowBlank="1" type="list">
      <formula1>"Chưa làm,Đang làm,Chờ duyệt,Xong,Vướng"</formula1>
    </dataValidation>
    <dataValidation sqref="H5:H28" showDropDown="0" showInputMessage="0" showErrorMessage="0" allowBlank="1" type="list">
      <formula1>"P0,P1,P2"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34" customWidth="1" min="4" max="4"/>
    <col width="62" customWidth="1" min="5" max="5"/>
    <col width="30" customWidth="1" min="6" max="6"/>
    <col width="15" customWidth="1" min="7" max="7"/>
    <col width="8" customWidth="1" min="8" max="8"/>
    <col width="11" customWidth="1" min="9" max="9"/>
    <col width="12" customWidth="1" min="10" max="10"/>
    <col width="34" customWidth="1" min="11" max="11"/>
    <col width="24" customWidth="1" min="12" max="12"/>
    <col width="11" customWidth="1" min="13" max="13"/>
    <col width="30" customWidth="1" min="14" max="14"/>
  </cols>
  <sheetData>
    <row r="1">
      <c r="A1" s="5" t="inlineStr">
        <is>
          <t>Tuần 11 (14/12 – 20/12/2026) · Tháng 3: Nội dung trang bán hàng</t>
        </is>
      </c>
    </row>
    <row r="2">
      <c r="A2" s="17" t="inlineStr">
        <is>
          <t>Tiến độ:</t>
        </is>
      </c>
      <c r="C2" s="18">
        <f>IFERROR(COUNTIF(J5:J27,"Xong")/COUNTA(B5:B27),0)</f>
        <v/>
      </c>
      <c r="D2" s="19">
        <f>COUNTIF(J5:J27,"Xong")&amp;" / "&amp;COUNTA(B5:B27)&amp;" task xong · "&amp;COUNTIF(J5:J27,"Vướng")&amp;" task vướng"</f>
        <v/>
      </c>
    </row>
    <row r="4" ht="30" customHeight="1">
      <c r="A4" s="6" t="inlineStr">
        <is>
          <t>STT</t>
        </is>
      </c>
      <c r="B4" s="6" t="inlineStr">
        <is>
          <t>Mã task</t>
        </is>
      </c>
      <c r="C4" s="6" t="inlineStr">
        <is>
          <t>Hạng mục</t>
        </is>
      </c>
      <c r="D4" s="6" t="inlineStr">
        <is>
          <t>Đầu việc</t>
        </is>
      </c>
      <c r="E4" s="6" t="inlineStr">
        <is>
          <t>Các bước thực hiện</t>
        </is>
      </c>
      <c r="F4" s="6" t="inlineStr">
        <is>
          <t>URL / phạm vi</t>
        </is>
      </c>
      <c r="G4" s="6" t="inlineStr">
        <is>
          <t>Phụ trách</t>
        </is>
      </c>
      <c r="H4" s="6" t="inlineStr">
        <is>
          <t>Ưu tiên</t>
        </is>
      </c>
      <c r="I4" s="6" t="inlineStr">
        <is>
          <t>Hạn chót</t>
        </is>
      </c>
      <c r="J4" s="6" t="inlineStr">
        <is>
          <t>Trạng thái</t>
        </is>
      </c>
      <c r="K4" s="6" t="inlineStr">
        <is>
          <t>Tiêu chí hoàn thành</t>
        </is>
      </c>
      <c r="L4" s="6" t="inlineStr">
        <is>
          <t>Nguồn</t>
        </is>
      </c>
      <c r="M4" s="6" t="inlineStr">
        <is>
          <t>Ngày xong</t>
        </is>
      </c>
      <c r="N4" s="6" t="inlineStr">
        <is>
          <t>Ghi chú / link bằng chứng</t>
        </is>
      </c>
    </row>
    <row r="5" ht="45" customHeight="1">
      <c r="A5" s="20" t="n">
        <v>1</v>
      </c>
      <c r="B5" s="20" t="inlineStr">
        <is>
          <t>W11-01</t>
        </is>
      </c>
      <c r="C5" s="20" t="inlineStr">
        <is>
          <t>Nội dung</t>
        </is>
      </c>
      <c r="D5" s="21" t="inlineStr">
        <is>
          <t>Viết lại mô tả 14 sản phẩm (≥ 300 chữ)</t>
        </is>
      </c>
      <c r="E5" s="20" t="inlineStr">
        <is>
          <t>Mỗi sản phẩm: lực nâng (N), độ dày foam, ai nên dùng, trình độ bơi, bảng size, chất liệu, bảo quản, lưu ý an toàn. Không dùng 'chống đuối nước', 'an toàn tuyệt đối'.</t>
        </is>
      </c>
      <c r="F5" s="20" t="inlineStr">
        <is>
          <t>14 sản phẩm</t>
        </is>
      </c>
      <c r="G5" s="22" t="inlineStr">
        <is>
          <t>Content</t>
        </is>
      </c>
      <c r="H5" s="23" t="inlineStr">
        <is>
          <t>P0</t>
        </is>
      </c>
      <c r="I5" s="24" t="n">
        <v>46374</v>
      </c>
      <c r="J5" s="22" t="inlineStr">
        <is>
          <t>Chưa làm</t>
        </is>
      </c>
      <c r="K5" s="20" t="inlineStr">
        <is>
          <t>14/14 mô tả ≥ 300 chữ, không trùng</t>
        </is>
      </c>
      <c r="L5" s="20" t="inlineStr">
        <is>
          <t>Strategy 07_Roadmap T3</t>
        </is>
      </c>
      <c r="M5" s="24" t="n"/>
      <c r="N5" s="22" t="n"/>
    </row>
    <row r="6" ht="45" customHeight="1">
      <c r="A6" s="20" t="n">
        <v>2</v>
      </c>
      <c r="B6" s="20" t="inlineStr">
        <is>
          <t>W11-02</t>
        </is>
      </c>
      <c r="C6" s="20" t="inlineStr">
        <is>
          <t>Nội dung</t>
        </is>
      </c>
      <c r="D6" s="21" t="inlineStr">
        <is>
          <t>Refresh /lo-trinh-hoc-boi/, /cong-nghe-phao-noi/, FAQ</t>
        </is>
      </c>
      <c r="E6" s="20" t="inlineStr">
        <is>
          <t>Lộ trình: link sản phẩm theo từng bước. Công nghệ: bảng lực nâng từng dòng, độ dày foam, cách đo. FAQ: thêm câu hỏi lực nâng theo cân nặng.</t>
        </is>
      </c>
      <c r="F6" s="20" t="inlineStr">
        <is>
          <t>3 trang</t>
        </is>
      </c>
      <c r="G6" s="22" t="inlineStr">
        <is>
          <t>Content</t>
        </is>
      </c>
      <c r="H6" s="20" t="inlineStr">
        <is>
          <t>P1</t>
        </is>
      </c>
      <c r="I6" s="24" t="n">
        <v>46375</v>
      </c>
      <c r="J6" s="22" t="inlineStr">
        <is>
          <t>Chưa làm</t>
        </is>
      </c>
      <c r="K6" s="20" t="inlineStr">
        <is>
          <t>3 trang cập nhật</t>
        </is>
      </c>
      <c r="L6" s="20" t="inlineStr">
        <is>
          <t>Strategy U010, U032, U005</t>
        </is>
      </c>
      <c r="M6" s="24" t="n"/>
      <c r="N6" s="22" t="n"/>
    </row>
    <row r="7" ht="45" customHeight="1">
      <c r="A7" s="20" t="n">
        <v>3</v>
      </c>
      <c r="B7" s="20" t="inlineStr">
        <is>
          <t>W11-03</t>
        </is>
      </c>
      <c r="C7" s="20" t="inlineStr">
        <is>
          <t>Chuyển đổi</t>
        </is>
      </c>
      <c r="D7" s="21" t="inlineStr">
        <is>
          <t>Bảng so sánh các dòng sản phẩm</t>
        </is>
      </c>
      <c r="E7" s="20" t="inlineStr">
        <is>
          <t>Bảng HTML (không phải ảnh): Challenger Light, EVA Fit, Dual Flex... theo lực nâng, đối tượng, giá. Đặt ở /do-boi-co-phao/.</t>
        </is>
      </c>
      <c r="F7" s="20" t="inlineStr">
        <is>
          <t>/do-boi-co-phao/</t>
        </is>
      </c>
      <c r="G7" s="22" t="inlineStr">
        <is>
          <t>Content + Dev</t>
        </is>
      </c>
      <c r="H7" s="20" t="inlineStr">
        <is>
          <t>P1</t>
        </is>
      </c>
      <c r="I7" s="24" t="n">
        <v>46375</v>
      </c>
      <c r="J7" s="22" t="inlineStr">
        <is>
          <t>Chưa làm</t>
        </is>
      </c>
      <c r="K7" s="20" t="inlineStr">
        <is>
          <t>Bảng live, đọc được không cần JS</t>
        </is>
      </c>
      <c r="L7" s="20" t="inlineStr">
        <is>
          <t>Audit mục 6</t>
        </is>
      </c>
      <c r="M7" s="24" t="n"/>
      <c r="N7" s="22" t="n"/>
    </row>
  </sheetData>
  <autoFilter ref="A4:N7"/>
  <conditionalFormatting sqref="A5:N27">
    <cfRule type="expression" priority="1" dxfId="0">
      <formula>$J5="Xong"</formula>
    </cfRule>
    <cfRule type="expression" priority="2" dxfId="1">
      <formula>$J5="Đang làm"</formula>
    </cfRule>
    <cfRule type="expression" priority="3" dxfId="2">
      <formula>$J5="Chờ duyệt"</formula>
    </cfRule>
    <cfRule type="expression" priority="4" dxfId="3">
      <formula>$J5="Vướng"</formula>
    </cfRule>
  </conditionalFormatting>
  <dataValidations count="2">
    <dataValidation sqref="J5:J27" showDropDown="0" showInputMessage="0" showErrorMessage="0" allowBlank="1" type="list">
      <formula1>"Chưa làm,Đang làm,Chờ duyệt,Xong,Vướng"</formula1>
    </dataValidation>
    <dataValidation sqref="H5:H27" showDropDown="0" showInputMessage="0" showErrorMessage="0" allowBlank="1" type="list">
      <formula1>"P0,P1,P2"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34" customWidth="1" min="4" max="4"/>
    <col width="62" customWidth="1" min="5" max="5"/>
    <col width="30" customWidth="1" min="6" max="6"/>
    <col width="15" customWidth="1" min="7" max="7"/>
    <col width="8" customWidth="1" min="8" max="8"/>
    <col width="11" customWidth="1" min="9" max="9"/>
    <col width="12" customWidth="1" min="10" max="10"/>
    <col width="34" customWidth="1" min="11" max="11"/>
    <col width="24" customWidth="1" min="12" max="12"/>
    <col width="11" customWidth="1" min="13" max="13"/>
    <col width="30" customWidth="1" min="14" max="14"/>
  </cols>
  <sheetData>
    <row r="1">
      <c r="A1" s="5" t="inlineStr">
        <is>
          <t>Tuần 12 (21/12 – 27/12/2026) · Tháng 3: Uy tín + nghiệm thu giai đoạn sửa website</t>
        </is>
      </c>
    </row>
    <row r="2">
      <c r="A2" s="17" t="inlineStr">
        <is>
          <t>Tiến độ:</t>
        </is>
      </c>
      <c r="C2" s="18">
        <f>IFERROR(COUNTIF(J5:J28,"Xong")/COUNTA(B5:B28),0)</f>
        <v/>
      </c>
      <c r="D2" s="19">
        <f>COUNTIF(J5:J28,"Xong")&amp;" / "&amp;COUNTA(B5:B28)&amp;" task xong · "&amp;COUNTIF(J5:J28,"Vướng")&amp;" task vướng"</f>
        <v/>
      </c>
    </row>
    <row r="4" ht="30" customHeight="1">
      <c r="A4" s="6" t="inlineStr">
        <is>
          <t>STT</t>
        </is>
      </c>
      <c r="B4" s="6" t="inlineStr">
        <is>
          <t>Mã task</t>
        </is>
      </c>
      <c r="C4" s="6" t="inlineStr">
        <is>
          <t>Hạng mục</t>
        </is>
      </c>
      <c r="D4" s="6" t="inlineStr">
        <is>
          <t>Đầu việc</t>
        </is>
      </c>
      <c r="E4" s="6" t="inlineStr">
        <is>
          <t>Các bước thực hiện</t>
        </is>
      </c>
      <c r="F4" s="6" t="inlineStr">
        <is>
          <t>URL / phạm vi</t>
        </is>
      </c>
      <c r="G4" s="6" t="inlineStr">
        <is>
          <t>Phụ trách</t>
        </is>
      </c>
      <c r="H4" s="6" t="inlineStr">
        <is>
          <t>Ưu tiên</t>
        </is>
      </c>
      <c r="I4" s="6" t="inlineStr">
        <is>
          <t>Hạn chót</t>
        </is>
      </c>
      <c r="J4" s="6" t="inlineStr">
        <is>
          <t>Trạng thái</t>
        </is>
      </c>
      <c r="K4" s="6" t="inlineStr">
        <is>
          <t>Tiêu chí hoàn thành</t>
        </is>
      </c>
      <c r="L4" s="6" t="inlineStr">
        <is>
          <t>Nguồn</t>
        </is>
      </c>
      <c r="M4" s="6" t="inlineStr">
        <is>
          <t>Ngày xong</t>
        </is>
      </c>
      <c r="N4" s="6" t="inlineStr">
        <is>
          <t>Ghi chú / link bằng chứng</t>
        </is>
      </c>
    </row>
    <row r="5" ht="45" customHeight="1">
      <c r="A5" s="20" t="n">
        <v>1</v>
      </c>
      <c r="B5" s="20" t="inlineStr">
        <is>
          <t>W12-01</t>
        </is>
      </c>
      <c r="C5" s="20" t="inlineStr">
        <is>
          <t>Uy tín</t>
        </is>
      </c>
      <c r="D5" s="21" t="inlineStr">
        <is>
          <t>Thu thập và hiển thị đánh giá khách hàng</t>
        </is>
      </c>
      <c r="E5" s="20" t="inlineStr">
        <is>
          <t>Gửi tin nhắn xin review (có ảnh) cho khách đã mua. Hiển thị review trên trang sản phẩm; tạo /danh-gia-khach-hang/.</t>
        </is>
      </c>
      <c r="F5" s="20" t="inlineStr">
        <is>
          <t>Sản phẩm + trang review</t>
        </is>
      </c>
      <c r="G5" s="22" t="inlineStr">
        <is>
          <t>Chủ shop + Dev</t>
        </is>
      </c>
      <c r="H5" s="20" t="inlineStr">
        <is>
          <t>P1</t>
        </is>
      </c>
      <c r="I5" s="24" t="n">
        <v>46381</v>
      </c>
      <c r="J5" s="22" t="inlineStr">
        <is>
          <t>Chưa làm</t>
        </is>
      </c>
      <c r="K5" s="20" t="inlineStr">
        <is>
          <t>≥ 10 review thật hiển thị</t>
        </is>
      </c>
      <c r="L5" s="20" t="inlineStr">
        <is>
          <t>Strategy 07_Roadmap T3</t>
        </is>
      </c>
      <c r="M5" s="24" t="n"/>
      <c r="N5" s="22" t="n"/>
    </row>
    <row r="6" ht="45" customHeight="1">
      <c r="A6" s="20" t="n">
        <v>2</v>
      </c>
      <c r="B6" s="20" t="inlineStr">
        <is>
          <t>W12-02</t>
        </is>
      </c>
      <c r="C6" s="20" t="inlineStr">
        <is>
          <t>AI Search</t>
        </is>
      </c>
      <c r="D6" s="21" t="inlineStr">
        <is>
          <t>Tạo /llms.txt</t>
        </is>
      </c>
      <c r="E6" s="20" t="inlineStr">
        <is>
          <t>Liệt kê trang chính: danh mục, công nghệ phao nổi, lộ trình học bơi, FAQ, chính sách, kèm mô tả 1 dòng.</t>
        </is>
      </c>
      <c r="F6" s="20" t="inlineStr">
        <is>
          <t>/llms.txt</t>
        </is>
      </c>
      <c r="G6" s="22" t="inlineStr">
        <is>
          <t>SEO + Dev</t>
        </is>
      </c>
      <c r="H6" s="20" t="inlineStr">
        <is>
          <t>P2</t>
        </is>
      </c>
      <c r="I6" s="24" t="n">
        <v>46380</v>
      </c>
      <c r="J6" s="22" t="inlineStr">
        <is>
          <t>Chưa làm</t>
        </is>
      </c>
      <c r="K6" s="20" t="inlineStr">
        <is>
          <t>caretta.vn/llms.txt trả 200</t>
        </is>
      </c>
      <c r="L6" s="20" t="inlineStr">
        <is>
          <t>Audit mục 6</t>
        </is>
      </c>
      <c r="M6" s="24" t="n"/>
      <c r="N6" s="22" t="n"/>
    </row>
    <row r="7" ht="45" customHeight="1">
      <c r="A7" s="20" t="n">
        <v>3</v>
      </c>
      <c r="B7" s="20" t="inlineStr">
        <is>
          <t>W12-03</t>
        </is>
      </c>
      <c r="C7" s="20" t="inlineStr">
        <is>
          <t>Kiểm tra</t>
        </is>
      </c>
      <c r="D7" s="21" t="inlineStr">
        <is>
          <t>Nghiệm thu 'website sẵn sàng SEO'</t>
        </is>
      </c>
      <c r="E7" s="20" t="inlineStr">
        <is>
          <t>Crawl toàn site + PageSpeed + Rich Results + GSC Pages. Đối chiếu tất cả task tuần 1–11 trạng thái Xong. Cập nhật KPI M3.</t>
        </is>
      </c>
      <c r="F7" s="20" t="inlineStr">
        <is>
          <t>Toàn site</t>
        </is>
      </c>
      <c r="G7" s="22" t="inlineStr">
        <is>
          <t>SEO</t>
        </is>
      </c>
      <c r="H7" s="23" t="inlineStr">
        <is>
          <t>P0</t>
        </is>
      </c>
      <c r="I7" s="24" t="n">
        <v>46382</v>
      </c>
      <c r="J7" s="22" t="inlineStr">
        <is>
          <t>Chưa làm</t>
        </is>
      </c>
      <c r="K7" s="20" t="inlineStr">
        <is>
          <t>Checklist đạt 100%, báo cáo gửi chủ shop</t>
        </is>
      </c>
      <c r="L7" s="20" t="inlineStr">
        <is>
          <t>Strategy 07_Roadmap T3</t>
        </is>
      </c>
      <c r="M7" s="24" t="n"/>
      <c r="N7" s="22" t="n"/>
    </row>
    <row r="8" ht="45" customHeight="1">
      <c r="A8" s="20" t="n">
        <v>4</v>
      </c>
      <c r="B8" s="20" t="inlineStr">
        <is>
          <t>W12-04</t>
        </is>
      </c>
      <c r="C8" s="20" t="inlineStr">
        <is>
          <t>Kế hoạch</t>
        </is>
      </c>
      <c r="D8" s="21" t="inlineStr">
        <is>
          <t>Chuẩn bị nội dung tháng 4</t>
        </is>
      </c>
      <c r="E8" s="20" t="inlineStr">
        <is>
          <t>Lên lịch 12 bài: KD09 (5 bài lộ trình), KD14, KD11. Đổi /blog → /kien-thuc-boi/ (301) và bỏ noindex khi có ≥ 6 bài.</t>
        </is>
      </c>
      <c r="F8" s="20" t="inlineStr">
        <is>
          <t>/kien-thuc-boi/</t>
        </is>
      </c>
      <c r="G8" s="22" t="inlineStr">
        <is>
          <t>SEO + Content</t>
        </is>
      </c>
      <c r="H8" s="20" t="inlineStr">
        <is>
          <t>P1</t>
        </is>
      </c>
      <c r="I8" s="24" t="n">
        <v>46383</v>
      </c>
      <c r="J8" s="22" t="inlineStr">
        <is>
          <t>Chưa làm</t>
        </is>
      </c>
      <c r="K8" s="20" t="inlineStr">
        <is>
          <t>Lịch 12 bài có tiêu đề + từ khóa</t>
        </is>
      </c>
      <c r="L8" s="20" t="inlineStr">
        <is>
          <t>Strategy 05, 06, 07</t>
        </is>
      </c>
      <c r="M8" s="24" t="n"/>
      <c r="N8" s="22" t="n"/>
    </row>
  </sheetData>
  <autoFilter ref="A4:N8"/>
  <conditionalFormatting sqref="A5:N28">
    <cfRule type="expression" priority="1" dxfId="0">
      <formula>$J5="Xong"</formula>
    </cfRule>
    <cfRule type="expression" priority="2" dxfId="1">
      <formula>$J5="Đang làm"</formula>
    </cfRule>
    <cfRule type="expression" priority="3" dxfId="2">
      <formula>$J5="Chờ duyệt"</formula>
    </cfRule>
    <cfRule type="expression" priority="4" dxfId="3">
      <formula>$J5="Vướng"</formula>
    </cfRule>
  </conditionalFormatting>
  <dataValidations count="2">
    <dataValidation sqref="J5:J28" showDropDown="0" showInputMessage="0" showErrorMessage="0" allowBlank="1" type="list">
      <formula1>"Chưa làm,Đang làm,Chờ duyệt,Xong,Vướng"</formula1>
    </dataValidation>
    <dataValidation sqref="H5:H28" showDropDown="0" showInputMessage="0" showErrorMessage="0" allowBlank="1" type="list">
      <formula1>"P0,P1,P2"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5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52" customWidth="1" min="3" max="3"/>
    <col width="9" customWidth="1" min="4" max="4"/>
    <col width="12" customWidth="1" min="5" max="5"/>
    <col width="8" customWidth="1" min="6" max="6"/>
    <col width="8" customWidth="1" min="7" max="7"/>
    <col width="7" customWidth="1" min="8" max="8"/>
    <col width="9" customWidth="1" min="9" max="9"/>
    <col width="11" customWidth="1" min="10" max="10"/>
    <col width="12" customWidth="1" min="11" max="11"/>
    <col width="12" customWidth="1" min="12" max="12"/>
    <col width="12" customWidth="1" min="13" max="13"/>
    <col width="7" customWidth="1" min="14" max="14"/>
    <col width="14" customWidth="1" min="15" max="15"/>
    <col width="10" customWidth="1" min="16" max="16"/>
    <col width="36" customWidth="1" min="17" max="17"/>
  </cols>
  <sheetData>
    <row r="1">
      <c r="A1" s="5" t="inlineStr">
        <is>
          <t>Nhật ký đo PageSpeed Insights (https://pagespeed.web.dev/)</t>
        </is>
      </c>
    </row>
    <row r="2">
      <c r="A2" s="16" t="inlineStr">
        <is>
          <t>Ngưỡng tốt: Performance ≥ 90 · LCP ≤ 2,5 s · FCP ≤ 1,8 s · CLS ≤ 0,1 · TBT ≤ 200 ms. Dòng mẫu đầu tiên lấy từ bản audit (Lighthouse 25/09/2026, mobile).</t>
        </is>
      </c>
    </row>
    <row r="4">
      <c r="A4" s="6" t="inlineStr">
        <is>
          <t>Ngày đo</t>
        </is>
      </c>
      <c r="B4" s="6" t="inlineStr">
        <is>
          <t>Tuần</t>
        </is>
      </c>
      <c r="C4" s="6" t="inlineStr">
        <is>
          <t>URL</t>
        </is>
      </c>
      <c r="D4" s="6" t="inlineStr">
        <is>
          <t>Thiết bị</t>
        </is>
      </c>
      <c r="E4" s="6" t="inlineStr">
        <is>
          <t>Performance</t>
        </is>
      </c>
      <c r="F4" s="6" t="inlineStr">
        <is>
          <t>LCP (s)</t>
        </is>
      </c>
      <c r="G4" s="6" t="inlineStr">
        <is>
          <t>FCP (s)</t>
        </is>
      </c>
      <c r="H4" s="6" t="inlineStr">
        <is>
          <t>CLS</t>
        </is>
      </c>
      <c r="I4" s="6" t="inlineStr">
        <is>
          <t>TBT (ms)</t>
        </is>
      </c>
      <c r="J4" s="6" t="inlineStr">
        <is>
          <t>Speed Index (s)</t>
        </is>
      </c>
      <c r="K4" s="6" t="inlineStr">
        <is>
          <t>Dung lượng (MB)</t>
        </is>
      </c>
      <c r="L4" s="6" t="inlineStr">
        <is>
          <t>Accessibility</t>
        </is>
      </c>
      <c r="M4" s="6" t="inlineStr">
        <is>
          <t>Best Practices</t>
        </is>
      </c>
      <c r="N4" s="6" t="inlineStr">
        <is>
          <t>SEO</t>
        </is>
      </c>
      <c r="O4" s="6" t="inlineStr">
        <is>
          <t>CrUX (Pass/Fail/Chưa có)</t>
        </is>
      </c>
      <c r="P4" s="6" t="inlineStr">
        <is>
          <t>Đạt LCP?</t>
        </is>
      </c>
      <c r="Q4" s="6" t="inlineStr">
        <is>
          <t>Lỗi chính / ghi chú</t>
        </is>
      </c>
    </row>
    <row r="5">
      <c r="A5" s="25" t="n">
        <v>46290</v>
      </c>
      <c r="B5" s="26" t="inlineStr">
        <is>
          <t>Audit</t>
        </is>
      </c>
      <c r="C5" s="26" t="inlineStr">
        <is>
          <t>https://caretta.vn/</t>
        </is>
      </c>
      <c r="D5" s="26" t="inlineStr">
        <is>
          <t>Mobile</t>
        </is>
      </c>
      <c r="E5" s="27" t="n">
        <v>59</v>
      </c>
      <c r="F5" s="27" t="n">
        <v>67.7</v>
      </c>
      <c r="G5" s="27" t="n">
        <v>5.3</v>
      </c>
      <c r="H5" s="27" t="n">
        <v>0</v>
      </c>
      <c r="I5" s="27" t="n">
        <v>0</v>
      </c>
      <c r="J5" s="27" t="n"/>
      <c r="K5" s="27" t="n">
        <v>20.7</v>
      </c>
      <c r="L5" s="27" t="n"/>
      <c r="M5" s="27" t="n"/>
      <c r="N5" s="27" t="n"/>
      <c r="O5" s="27" t="inlineStr">
        <is>
          <t>Chưa có</t>
        </is>
      </c>
      <c r="P5" s="26">
        <f>IF(F5="","",IF(F5&lt;=2.5,"Đạt","Chưa đạt"))</f>
        <v/>
      </c>
      <c r="Q5" s="26" t="inlineStr">
        <is>
          <t>Mẫu từ bản audit</t>
        </is>
      </c>
    </row>
    <row r="6">
      <c r="A6" s="25" t="n">
        <v>46290</v>
      </c>
      <c r="B6" s="26" t="inlineStr">
        <is>
          <t>Audit</t>
        </is>
      </c>
      <c r="C6" s="26" t="inlineStr">
        <is>
          <t>https://caretta.vn/products/ao-phao-boi-khop-dong-caretta-challenger-light</t>
        </is>
      </c>
      <c r="D6" s="26" t="inlineStr">
        <is>
          <t>Mobile</t>
        </is>
      </c>
      <c r="E6" s="27" t="n">
        <v>62</v>
      </c>
      <c r="F6" s="27" t="n">
        <v>28.9</v>
      </c>
      <c r="G6" s="27" t="n">
        <v>5.1</v>
      </c>
      <c r="H6" s="27" t="n">
        <v>0.026</v>
      </c>
      <c r="I6" s="27" t="n">
        <v>0</v>
      </c>
      <c r="J6" s="27" t="n"/>
      <c r="K6" s="27" t="n">
        <v>6.6</v>
      </c>
      <c r="L6" s="27" t="n"/>
      <c r="M6" s="27" t="n"/>
      <c r="N6" s="27" t="n"/>
      <c r="O6" s="27" t="inlineStr">
        <is>
          <t>Chưa có</t>
        </is>
      </c>
      <c r="P6" s="26">
        <f>IF(F6="","",IF(F6&lt;=2.5,"Đạt","Chưa đạt"))</f>
        <v/>
      </c>
      <c r="Q6" s="26" t="inlineStr">
        <is>
          <t>Mẫu từ bản audit</t>
        </is>
      </c>
    </row>
    <row r="7">
      <c r="A7" s="28" t="n"/>
      <c r="B7" s="26" t="inlineStr">
        <is>
          <t>Tuần 1</t>
        </is>
      </c>
      <c r="C7" s="26" t="inlineStr">
        <is>
          <t>https://caretta.vn/</t>
        </is>
      </c>
      <c r="D7" s="26" t="inlineStr">
        <is>
          <t>Mobile</t>
        </is>
      </c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6">
        <f>IF(F7="","",IF(F7&lt;=2.5,"Đạt","Chưa đạt"))</f>
        <v/>
      </c>
      <c r="Q7" s="29" t="n"/>
    </row>
    <row r="8">
      <c r="A8" s="28" t="n"/>
      <c r="B8" s="26" t="inlineStr">
        <is>
          <t>Tuần 1</t>
        </is>
      </c>
      <c r="C8" s="26" t="inlineStr">
        <is>
          <t>https://caretta.vn/products</t>
        </is>
      </c>
      <c r="D8" s="26" t="inlineStr">
        <is>
          <t>Mobile</t>
        </is>
      </c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29" t="n"/>
      <c r="P8" s="26">
        <f>IF(F8="","",IF(F8&lt;=2.5,"Đạt","Chưa đạt"))</f>
        <v/>
      </c>
      <c r="Q8" s="29" t="n"/>
    </row>
    <row r="9">
      <c r="A9" s="28" t="n"/>
      <c r="B9" s="26" t="inlineStr">
        <is>
          <t>Tuần 1</t>
        </is>
      </c>
      <c r="C9" s="26" t="inlineStr">
        <is>
          <t>https://caretta.vn/women</t>
        </is>
      </c>
      <c r="D9" s="26" t="inlineStr">
        <is>
          <t>Mobile</t>
        </is>
      </c>
      <c r="E9" s="29" t="n"/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  <c r="O9" s="29" t="n"/>
      <c r="P9" s="26">
        <f>IF(F9="","",IF(F9&lt;=2.5,"Đạt","Chưa đạt"))</f>
        <v/>
      </c>
      <c r="Q9" s="29" t="n"/>
    </row>
    <row r="10">
      <c r="A10" s="28" t="n"/>
      <c r="B10" s="26" t="inlineStr">
        <is>
          <t>Tuần 1</t>
        </is>
      </c>
      <c r="C10" s="26" t="inlineStr">
        <is>
          <t>https://caretta.vn/products/ao-phao-boi-khop-dong-caretta-challenger-light</t>
        </is>
      </c>
      <c r="D10" s="26" t="inlineStr">
        <is>
          <t>Mobile</t>
        </is>
      </c>
      <c r="E10" s="29" t="n"/>
      <c r="F10" s="29" t="n"/>
      <c r="G10" s="29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6">
        <f>IF(F10="","",IF(F10&lt;=2.5,"Đạt","Chưa đạt"))</f>
        <v/>
      </c>
      <c r="Q10" s="29" t="n"/>
    </row>
    <row r="11">
      <c r="A11" s="28" t="n"/>
      <c r="B11" s="26" t="inlineStr">
        <is>
          <t>Tuần 1</t>
        </is>
      </c>
      <c r="C11" s="26" t="inlineStr">
        <is>
          <t>https://caretta.vn/lo-trinh-hoc-boi</t>
        </is>
      </c>
      <c r="D11" s="26" t="inlineStr">
        <is>
          <t>Mobile</t>
        </is>
      </c>
      <c r="E11" s="29" t="n"/>
      <c r="F11" s="29" t="n"/>
      <c r="G11" s="29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6">
        <f>IF(F11="","",IF(F11&lt;=2.5,"Đạt","Chưa đạt"))</f>
        <v/>
      </c>
      <c r="Q11" s="29" t="n"/>
    </row>
    <row r="12">
      <c r="A12" s="28" t="n"/>
      <c r="B12" s="26" t="inlineStr">
        <is>
          <t>Tuần 1</t>
        </is>
      </c>
      <c r="C12" s="26" t="inlineStr">
        <is>
          <t>https://caretta.vn/</t>
        </is>
      </c>
      <c r="D12" s="26" t="inlineStr">
        <is>
          <t>Desktop</t>
        </is>
      </c>
      <c r="E12" s="29" t="n"/>
      <c r="F12" s="29" t="n"/>
      <c r="G12" s="29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6">
        <f>IF(F12="","",IF(F12&lt;=2.5,"Đạt","Chưa đạt"))</f>
        <v/>
      </c>
      <c r="Q12" s="29" t="n"/>
    </row>
    <row r="13">
      <c r="A13" s="28" t="n"/>
      <c r="B13" s="26" t="inlineStr">
        <is>
          <t>Tuần 1</t>
        </is>
      </c>
      <c r="C13" s="26" t="inlineStr">
        <is>
          <t>https://caretta.vn/products</t>
        </is>
      </c>
      <c r="D13" s="26" t="inlineStr">
        <is>
          <t>Desktop</t>
        </is>
      </c>
      <c r="E13" s="29" t="n"/>
      <c r="F13" s="29" t="n"/>
      <c r="G13" s="29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6">
        <f>IF(F13="","",IF(F13&lt;=2.5,"Đạt","Chưa đạt"))</f>
        <v/>
      </c>
      <c r="Q13" s="29" t="n"/>
    </row>
    <row r="14">
      <c r="A14" s="28" t="n"/>
      <c r="B14" s="26" t="inlineStr">
        <is>
          <t>Tuần 1</t>
        </is>
      </c>
      <c r="C14" s="26" t="inlineStr">
        <is>
          <t>https://caretta.vn/women</t>
        </is>
      </c>
      <c r="D14" s="26" t="inlineStr">
        <is>
          <t>Desktop</t>
        </is>
      </c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6">
        <f>IF(F14="","",IF(F14&lt;=2.5,"Đạt","Chưa đạt"))</f>
        <v/>
      </c>
      <c r="Q14" s="29" t="n"/>
    </row>
    <row r="15">
      <c r="A15" s="28" t="n"/>
      <c r="B15" s="26" t="inlineStr">
        <is>
          <t>Tuần 1</t>
        </is>
      </c>
      <c r="C15" s="26" t="inlineStr">
        <is>
          <t>https://caretta.vn/products/ao-phao-boi-khop-dong-caretta-challenger-light</t>
        </is>
      </c>
      <c r="D15" s="26" t="inlineStr">
        <is>
          <t>Desktop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6">
        <f>IF(F15="","",IF(F15&lt;=2.5,"Đạt","Chưa đạt"))</f>
        <v/>
      </c>
      <c r="Q15" s="29" t="n"/>
    </row>
    <row r="16">
      <c r="A16" s="28" t="n"/>
      <c r="B16" s="26" t="inlineStr">
        <is>
          <t>Tuần 1</t>
        </is>
      </c>
      <c r="C16" s="26" t="inlineStr">
        <is>
          <t>https://caretta.vn/lo-trinh-hoc-boi</t>
        </is>
      </c>
      <c r="D16" s="26" t="inlineStr">
        <is>
          <t>Desktop</t>
        </is>
      </c>
      <c r="E16" s="29" t="n"/>
      <c r="F16" s="29" t="n"/>
      <c r="G16" s="29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6">
        <f>IF(F16="","",IF(F16&lt;=2.5,"Đạt","Chưa đạt"))</f>
        <v/>
      </c>
      <c r="Q16" s="29" t="n"/>
    </row>
    <row r="17">
      <c r="A17" s="28" t="n"/>
      <c r="B17" s="26" t="inlineStr">
        <is>
          <t>Tuần 4</t>
        </is>
      </c>
      <c r="C17" s="26" t="inlineStr">
        <is>
          <t>https://caretta.vn/</t>
        </is>
      </c>
      <c r="D17" s="26" t="inlineStr">
        <is>
          <t>Mobile</t>
        </is>
      </c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6">
        <f>IF(F17="","",IF(F17&lt;=2.5,"Đạt","Chưa đạt"))</f>
        <v/>
      </c>
      <c r="Q17" s="29" t="n"/>
    </row>
    <row r="18">
      <c r="A18" s="28" t="n"/>
      <c r="B18" s="26" t="inlineStr">
        <is>
          <t>Tuần 4</t>
        </is>
      </c>
      <c r="C18" s="26" t="inlineStr">
        <is>
          <t>https://caretta.vn/products</t>
        </is>
      </c>
      <c r="D18" s="26" t="inlineStr">
        <is>
          <t>Mobile</t>
        </is>
      </c>
      <c r="E18" s="29" t="n"/>
      <c r="F18" s="29" t="n"/>
      <c r="G18" s="29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6">
        <f>IF(F18="","",IF(F18&lt;=2.5,"Đạt","Chưa đạt"))</f>
        <v/>
      </c>
      <c r="Q18" s="29" t="n"/>
    </row>
    <row r="19">
      <c r="A19" s="28" t="n"/>
      <c r="B19" s="26" t="inlineStr">
        <is>
          <t>Tuần 4</t>
        </is>
      </c>
      <c r="C19" s="26" t="inlineStr">
        <is>
          <t>https://caretta.vn/women</t>
        </is>
      </c>
      <c r="D19" s="26" t="inlineStr">
        <is>
          <t>Mobile</t>
        </is>
      </c>
      <c r="E19" s="29" t="n"/>
      <c r="F19" s="29" t="n"/>
      <c r="G19" s="29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6">
        <f>IF(F19="","",IF(F19&lt;=2.5,"Đạt","Chưa đạt"))</f>
        <v/>
      </c>
      <c r="Q19" s="29" t="n"/>
    </row>
    <row r="20">
      <c r="A20" s="28" t="n"/>
      <c r="B20" s="26" t="inlineStr">
        <is>
          <t>Tuần 4</t>
        </is>
      </c>
      <c r="C20" s="26" t="inlineStr">
        <is>
          <t>https://caretta.vn/products/ao-phao-boi-khop-dong-caretta-challenger-light</t>
        </is>
      </c>
      <c r="D20" s="26" t="inlineStr">
        <is>
          <t>Mobile</t>
        </is>
      </c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6">
        <f>IF(F20="","",IF(F20&lt;=2.5,"Đạt","Chưa đạt"))</f>
        <v/>
      </c>
      <c r="Q20" s="29" t="n"/>
    </row>
    <row r="21">
      <c r="A21" s="28" t="n"/>
      <c r="B21" s="26" t="inlineStr">
        <is>
          <t>Tuần 4</t>
        </is>
      </c>
      <c r="C21" s="26" t="inlineStr">
        <is>
          <t>https://caretta.vn/lo-trinh-hoc-boi</t>
        </is>
      </c>
      <c r="D21" s="26" t="inlineStr">
        <is>
          <t>Mobile</t>
        </is>
      </c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6">
        <f>IF(F21="","",IF(F21&lt;=2.5,"Đạt","Chưa đạt"))</f>
        <v/>
      </c>
      <c r="Q21" s="29" t="n"/>
    </row>
    <row r="22">
      <c r="A22" s="28" t="n"/>
      <c r="B22" s="26" t="inlineStr">
        <is>
          <t>Tuần 4</t>
        </is>
      </c>
      <c r="C22" s="26" t="inlineStr">
        <is>
          <t>https://caretta.vn/</t>
        </is>
      </c>
      <c r="D22" s="26" t="inlineStr">
        <is>
          <t>Desktop</t>
        </is>
      </c>
      <c r="E22" s="29" t="n"/>
      <c r="F22" s="29" t="n"/>
      <c r="G22" s="29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6">
        <f>IF(F22="","",IF(F22&lt;=2.5,"Đạt","Chưa đạt"))</f>
        <v/>
      </c>
      <c r="Q22" s="29" t="n"/>
    </row>
    <row r="23">
      <c r="A23" s="28" t="n"/>
      <c r="B23" s="26" t="inlineStr">
        <is>
          <t>Tuần 4</t>
        </is>
      </c>
      <c r="C23" s="26" t="inlineStr">
        <is>
          <t>https://caretta.vn/products</t>
        </is>
      </c>
      <c r="D23" s="26" t="inlineStr">
        <is>
          <t>Desktop</t>
        </is>
      </c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6">
        <f>IF(F23="","",IF(F23&lt;=2.5,"Đạt","Chưa đạt"))</f>
        <v/>
      </c>
      <c r="Q23" s="29" t="n"/>
    </row>
    <row r="24">
      <c r="A24" s="28" t="n"/>
      <c r="B24" s="26" t="inlineStr">
        <is>
          <t>Tuần 4</t>
        </is>
      </c>
      <c r="C24" s="26" t="inlineStr">
        <is>
          <t>https://caretta.vn/women</t>
        </is>
      </c>
      <c r="D24" s="26" t="inlineStr">
        <is>
          <t>Desktop</t>
        </is>
      </c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6">
        <f>IF(F24="","",IF(F24&lt;=2.5,"Đạt","Chưa đạt"))</f>
        <v/>
      </c>
      <c r="Q24" s="29" t="n"/>
    </row>
    <row r="25">
      <c r="A25" s="28" t="n"/>
      <c r="B25" s="26" t="inlineStr">
        <is>
          <t>Tuần 4</t>
        </is>
      </c>
      <c r="C25" s="26" t="inlineStr">
        <is>
          <t>https://caretta.vn/products/ao-phao-boi-khop-dong-caretta-challenger-light</t>
        </is>
      </c>
      <c r="D25" s="26" t="inlineStr">
        <is>
          <t>Desktop</t>
        </is>
      </c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6">
        <f>IF(F25="","",IF(F25&lt;=2.5,"Đạt","Chưa đạt"))</f>
        <v/>
      </c>
      <c r="Q25" s="29" t="n"/>
    </row>
    <row r="26">
      <c r="A26" s="28" t="n"/>
      <c r="B26" s="26" t="inlineStr">
        <is>
          <t>Tuần 4</t>
        </is>
      </c>
      <c r="C26" s="26" t="inlineStr">
        <is>
          <t>https://caretta.vn/lo-trinh-hoc-boi</t>
        </is>
      </c>
      <c r="D26" s="26" t="inlineStr">
        <is>
          <t>Desktop</t>
        </is>
      </c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6">
        <f>IF(F26="","",IF(F26&lt;=2.5,"Đạt","Chưa đạt"))</f>
        <v/>
      </c>
      <c r="Q26" s="29" t="n"/>
    </row>
    <row r="27">
      <c r="A27" s="28" t="n"/>
      <c r="B27" s="26" t="inlineStr">
        <is>
          <t>Tuần 8</t>
        </is>
      </c>
      <c r="C27" s="26" t="inlineStr">
        <is>
          <t>https://caretta.vn/</t>
        </is>
      </c>
      <c r="D27" s="26" t="inlineStr">
        <is>
          <t>Mobile</t>
        </is>
      </c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6">
        <f>IF(F27="","",IF(F27&lt;=2.5,"Đạt","Chưa đạt"))</f>
        <v/>
      </c>
      <c r="Q27" s="29" t="n"/>
    </row>
    <row r="28">
      <c r="A28" s="28" t="n"/>
      <c r="B28" s="26" t="inlineStr">
        <is>
          <t>Tuần 8</t>
        </is>
      </c>
      <c r="C28" s="26" t="inlineStr">
        <is>
          <t>https://caretta.vn/products</t>
        </is>
      </c>
      <c r="D28" s="26" t="inlineStr">
        <is>
          <t>Mobile</t>
        </is>
      </c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6">
        <f>IF(F28="","",IF(F28&lt;=2.5,"Đạt","Chưa đạt"))</f>
        <v/>
      </c>
      <c r="Q28" s="29" t="n"/>
    </row>
    <row r="29">
      <c r="A29" s="28" t="n"/>
      <c r="B29" s="26" t="inlineStr">
        <is>
          <t>Tuần 8</t>
        </is>
      </c>
      <c r="C29" s="26" t="inlineStr">
        <is>
          <t>https://caretta.vn/women</t>
        </is>
      </c>
      <c r="D29" s="26" t="inlineStr">
        <is>
          <t>Mobile</t>
        </is>
      </c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6">
        <f>IF(F29="","",IF(F29&lt;=2.5,"Đạt","Chưa đạt"))</f>
        <v/>
      </c>
      <c r="Q29" s="29" t="n"/>
    </row>
    <row r="30">
      <c r="A30" s="28" t="n"/>
      <c r="B30" s="26" t="inlineStr">
        <is>
          <t>Tuần 8</t>
        </is>
      </c>
      <c r="C30" s="26" t="inlineStr">
        <is>
          <t>https://caretta.vn/products/ao-phao-boi-khop-dong-caretta-challenger-light</t>
        </is>
      </c>
      <c r="D30" s="26" t="inlineStr">
        <is>
          <t>Mobile</t>
        </is>
      </c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6">
        <f>IF(F30="","",IF(F30&lt;=2.5,"Đạt","Chưa đạt"))</f>
        <v/>
      </c>
      <c r="Q30" s="29" t="n"/>
    </row>
    <row r="31">
      <c r="A31" s="28" t="n"/>
      <c r="B31" s="26" t="inlineStr">
        <is>
          <t>Tuần 8</t>
        </is>
      </c>
      <c r="C31" s="26" t="inlineStr">
        <is>
          <t>https://caretta.vn/lo-trinh-hoc-boi</t>
        </is>
      </c>
      <c r="D31" s="26" t="inlineStr">
        <is>
          <t>Mobile</t>
        </is>
      </c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6">
        <f>IF(F31="","",IF(F31&lt;=2.5,"Đạt","Chưa đạt"))</f>
        <v/>
      </c>
      <c r="Q31" s="29" t="n"/>
    </row>
    <row r="32">
      <c r="A32" s="28" t="n"/>
      <c r="B32" s="26" t="inlineStr">
        <is>
          <t>Tuần 8</t>
        </is>
      </c>
      <c r="C32" s="26" t="inlineStr">
        <is>
          <t>https://caretta.vn/</t>
        </is>
      </c>
      <c r="D32" s="26" t="inlineStr">
        <is>
          <t>Desktop</t>
        </is>
      </c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6">
        <f>IF(F32="","",IF(F32&lt;=2.5,"Đạt","Chưa đạt"))</f>
        <v/>
      </c>
      <c r="Q32" s="29" t="n"/>
    </row>
    <row r="33">
      <c r="A33" s="28" t="n"/>
      <c r="B33" s="26" t="inlineStr">
        <is>
          <t>Tuần 8</t>
        </is>
      </c>
      <c r="C33" s="26" t="inlineStr">
        <is>
          <t>https://caretta.vn/products</t>
        </is>
      </c>
      <c r="D33" s="26" t="inlineStr">
        <is>
          <t>Desktop</t>
        </is>
      </c>
      <c r="E33" s="29" t="n"/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6">
        <f>IF(F33="","",IF(F33&lt;=2.5,"Đạt","Chưa đạt"))</f>
        <v/>
      </c>
      <c r="Q33" s="29" t="n"/>
    </row>
    <row r="34">
      <c r="A34" s="28" t="n"/>
      <c r="B34" s="26" t="inlineStr">
        <is>
          <t>Tuần 8</t>
        </is>
      </c>
      <c r="C34" s="26" t="inlineStr">
        <is>
          <t>https://caretta.vn/women</t>
        </is>
      </c>
      <c r="D34" s="26" t="inlineStr">
        <is>
          <t>Desktop</t>
        </is>
      </c>
      <c r="E34" s="29" t="n"/>
      <c r="F34" s="29" t="n"/>
      <c r="G34" s="29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6">
        <f>IF(F34="","",IF(F34&lt;=2.5,"Đạt","Chưa đạt"))</f>
        <v/>
      </c>
      <c r="Q34" s="29" t="n"/>
    </row>
    <row r="35">
      <c r="A35" s="28" t="n"/>
      <c r="B35" s="26" t="inlineStr">
        <is>
          <t>Tuần 8</t>
        </is>
      </c>
      <c r="C35" s="26" t="inlineStr">
        <is>
          <t>https://caretta.vn/products/ao-phao-boi-khop-dong-caretta-challenger-light</t>
        </is>
      </c>
      <c r="D35" s="26" t="inlineStr">
        <is>
          <t>Desktop</t>
        </is>
      </c>
      <c r="E35" s="29" t="n"/>
      <c r="F35" s="29" t="n"/>
      <c r="G35" s="29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6">
        <f>IF(F35="","",IF(F35&lt;=2.5,"Đạt","Chưa đạt"))</f>
        <v/>
      </c>
      <c r="Q35" s="29" t="n"/>
    </row>
    <row r="36">
      <c r="A36" s="28" t="n"/>
      <c r="B36" s="26" t="inlineStr">
        <is>
          <t>Tuần 8</t>
        </is>
      </c>
      <c r="C36" s="26" t="inlineStr">
        <is>
          <t>https://caretta.vn/lo-trinh-hoc-boi</t>
        </is>
      </c>
      <c r="D36" s="26" t="inlineStr">
        <is>
          <t>Desktop</t>
        </is>
      </c>
      <c r="E36" s="29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6">
        <f>IF(F36="","",IF(F36&lt;=2.5,"Đạt","Chưa đạt"))</f>
        <v/>
      </c>
      <c r="Q36" s="29" t="n"/>
    </row>
    <row r="37">
      <c r="A37" s="28" t="n"/>
      <c r="B37" s="26" t="inlineStr">
        <is>
          <t>Tuần 10</t>
        </is>
      </c>
      <c r="C37" s="26" t="inlineStr">
        <is>
          <t>https://caretta.vn/</t>
        </is>
      </c>
      <c r="D37" s="26" t="inlineStr">
        <is>
          <t>Mobile</t>
        </is>
      </c>
      <c r="E37" s="29" t="n"/>
      <c r="F37" s="29" t="n"/>
      <c r="G37" s="29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6">
        <f>IF(F37="","",IF(F37&lt;=2.5,"Đạt","Chưa đạt"))</f>
        <v/>
      </c>
      <c r="Q37" s="29" t="n"/>
    </row>
    <row r="38">
      <c r="A38" s="28" t="n"/>
      <c r="B38" s="26" t="inlineStr">
        <is>
          <t>Tuần 10</t>
        </is>
      </c>
      <c r="C38" s="26" t="inlineStr">
        <is>
          <t>https://caretta.vn/products</t>
        </is>
      </c>
      <c r="D38" s="26" t="inlineStr">
        <is>
          <t>Mobile</t>
        </is>
      </c>
      <c r="E38" s="29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6">
        <f>IF(F38="","",IF(F38&lt;=2.5,"Đạt","Chưa đạt"))</f>
        <v/>
      </c>
      <c r="Q38" s="29" t="n"/>
    </row>
    <row r="39">
      <c r="A39" s="28" t="n"/>
      <c r="B39" s="26" t="inlineStr">
        <is>
          <t>Tuần 10</t>
        </is>
      </c>
      <c r="C39" s="26" t="inlineStr">
        <is>
          <t>https://caretta.vn/women</t>
        </is>
      </c>
      <c r="D39" s="26" t="inlineStr">
        <is>
          <t>Mobile</t>
        </is>
      </c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6">
        <f>IF(F39="","",IF(F39&lt;=2.5,"Đạt","Chưa đạt"))</f>
        <v/>
      </c>
      <c r="Q39" s="29" t="n"/>
    </row>
    <row r="40">
      <c r="A40" s="28" t="n"/>
      <c r="B40" s="26" t="inlineStr">
        <is>
          <t>Tuần 10</t>
        </is>
      </c>
      <c r="C40" s="26" t="inlineStr">
        <is>
          <t>https://caretta.vn/products/ao-phao-boi-khop-dong-caretta-challenger-light</t>
        </is>
      </c>
      <c r="D40" s="26" t="inlineStr">
        <is>
          <t>Mobile</t>
        </is>
      </c>
      <c r="E40" s="29" t="n"/>
      <c r="F40" s="29" t="n"/>
      <c r="G40" s="29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6">
        <f>IF(F40="","",IF(F40&lt;=2.5,"Đạt","Chưa đạt"))</f>
        <v/>
      </c>
      <c r="Q40" s="29" t="n"/>
    </row>
    <row r="41">
      <c r="A41" s="28" t="n"/>
      <c r="B41" s="26" t="inlineStr">
        <is>
          <t>Tuần 10</t>
        </is>
      </c>
      <c r="C41" s="26" t="inlineStr">
        <is>
          <t>https://caretta.vn/lo-trinh-hoc-boi</t>
        </is>
      </c>
      <c r="D41" s="26" t="inlineStr">
        <is>
          <t>Mobile</t>
        </is>
      </c>
      <c r="E41" s="29" t="n"/>
      <c r="F41" s="29" t="n"/>
      <c r="G41" s="29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6">
        <f>IF(F41="","",IF(F41&lt;=2.5,"Đạt","Chưa đạt"))</f>
        <v/>
      </c>
      <c r="Q41" s="29" t="n"/>
    </row>
    <row r="42">
      <c r="A42" s="28" t="n"/>
      <c r="B42" s="26" t="inlineStr">
        <is>
          <t>Tuần 10</t>
        </is>
      </c>
      <c r="C42" s="26" t="inlineStr">
        <is>
          <t>https://caretta.vn/</t>
        </is>
      </c>
      <c r="D42" s="26" t="inlineStr">
        <is>
          <t>Desktop</t>
        </is>
      </c>
      <c r="E42" s="29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6">
        <f>IF(F42="","",IF(F42&lt;=2.5,"Đạt","Chưa đạt"))</f>
        <v/>
      </c>
      <c r="Q42" s="29" t="n"/>
    </row>
    <row r="43">
      <c r="A43" s="28" t="n"/>
      <c r="B43" s="26" t="inlineStr">
        <is>
          <t>Tuần 10</t>
        </is>
      </c>
      <c r="C43" s="26" t="inlineStr">
        <is>
          <t>https://caretta.vn/products</t>
        </is>
      </c>
      <c r="D43" s="26" t="inlineStr">
        <is>
          <t>Desktop</t>
        </is>
      </c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6">
        <f>IF(F43="","",IF(F43&lt;=2.5,"Đạt","Chưa đạt"))</f>
        <v/>
      </c>
      <c r="Q43" s="29" t="n"/>
    </row>
    <row r="44">
      <c r="A44" s="28" t="n"/>
      <c r="B44" s="26" t="inlineStr">
        <is>
          <t>Tuần 10</t>
        </is>
      </c>
      <c r="C44" s="26" t="inlineStr">
        <is>
          <t>https://caretta.vn/women</t>
        </is>
      </c>
      <c r="D44" s="26" t="inlineStr">
        <is>
          <t>Desktop</t>
        </is>
      </c>
      <c r="E44" s="29" t="n"/>
      <c r="F44" s="29" t="n"/>
      <c r="G44" s="29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6">
        <f>IF(F44="","",IF(F44&lt;=2.5,"Đạt","Chưa đạt"))</f>
        <v/>
      </c>
      <c r="Q44" s="29" t="n"/>
    </row>
    <row r="45">
      <c r="A45" s="28" t="n"/>
      <c r="B45" s="26" t="inlineStr">
        <is>
          <t>Tuần 10</t>
        </is>
      </c>
      <c r="C45" s="26" t="inlineStr">
        <is>
          <t>https://caretta.vn/products/ao-phao-boi-khop-dong-caretta-challenger-light</t>
        </is>
      </c>
      <c r="D45" s="26" t="inlineStr">
        <is>
          <t>Desktop</t>
        </is>
      </c>
      <c r="E45" s="29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6">
        <f>IF(F45="","",IF(F45&lt;=2.5,"Đạt","Chưa đạt"))</f>
        <v/>
      </c>
      <c r="Q45" s="29" t="n"/>
    </row>
    <row r="46">
      <c r="A46" s="28" t="n"/>
      <c r="B46" s="26" t="inlineStr">
        <is>
          <t>Tuần 10</t>
        </is>
      </c>
      <c r="C46" s="26" t="inlineStr">
        <is>
          <t>https://caretta.vn/lo-trinh-hoc-boi</t>
        </is>
      </c>
      <c r="D46" s="26" t="inlineStr">
        <is>
          <t>Desktop</t>
        </is>
      </c>
      <c r="E46" s="29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6">
        <f>IF(F46="","",IF(F46&lt;=2.5,"Đạt","Chưa đạt"))</f>
        <v/>
      </c>
      <c r="Q46" s="29" t="n"/>
    </row>
    <row r="47">
      <c r="A47" s="28" t="n"/>
      <c r="B47" s="26" t="inlineStr">
        <is>
          <t>Tuần 12</t>
        </is>
      </c>
      <c r="C47" s="26" t="inlineStr">
        <is>
          <t>https://caretta.vn/</t>
        </is>
      </c>
      <c r="D47" s="26" t="inlineStr">
        <is>
          <t>Mobile</t>
        </is>
      </c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6">
        <f>IF(F47="","",IF(F47&lt;=2.5,"Đạt","Chưa đạt"))</f>
        <v/>
      </c>
      <c r="Q47" s="29" t="n"/>
    </row>
    <row r="48">
      <c r="A48" s="28" t="n"/>
      <c r="B48" s="26" t="inlineStr">
        <is>
          <t>Tuần 12</t>
        </is>
      </c>
      <c r="C48" s="26" t="inlineStr">
        <is>
          <t>https://caretta.vn/products</t>
        </is>
      </c>
      <c r="D48" s="26" t="inlineStr">
        <is>
          <t>Mobile</t>
        </is>
      </c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6">
        <f>IF(F48="","",IF(F48&lt;=2.5,"Đạt","Chưa đạt"))</f>
        <v/>
      </c>
      <c r="Q48" s="29" t="n"/>
    </row>
    <row r="49">
      <c r="A49" s="28" t="n"/>
      <c r="B49" s="26" t="inlineStr">
        <is>
          <t>Tuần 12</t>
        </is>
      </c>
      <c r="C49" s="26" t="inlineStr">
        <is>
          <t>https://caretta.vn/women</t>
        </is>
      </c>
      <c r="D49" s="26" t="inlineStr">
        <is>
          <t>Mobile</t>
        </is>
      </c>
      <c r="E49" s="29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6">
        <f>IF(F49="","",IF(F49&lt;=2.5,"Đạt","Chưa đạt"))</f>
        <v/>
      </c>
      <c r="Q49" s="29" t="n"/>
    </row>
    <row r="50">
      <c r="A50" s="28" t="n"/>
      <c r="B50" s="26" t="inlineStr">
        <is>
          <t>Tuần 12</t>
        </is>
      </c>
      <c r="C50" s="26" t="inlineStr">
        <is>
          <t>https://caretta.vn/products/ao-phao-boi-khop-dong-caretta-challenger-light</t>
        </is>
      </c>
      <c r="D50" s="26" t="inlineStr">
        <is>
          <t>Mobile</t>
        </is>
      </c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6">
        <f>IF(F50="","",IF(F50&lt;=2.5,"Đạt","Chưa đạt"))</f>
        <v/>
      </c>
      <c r="Q50" s="29" t="n"/>
    </row>
    <row r="51">
      <c r="A51" s="28" t="n"/>
      <c r="B51" s="26" t="inlineStr">
        <is>
          <t>Tuần 12</t>
        </is>
      </c>
      <c r="C51" s="26" t="inlineStr">
        <is>
          <t>https://caretta.vn/lo-trinh-hoc-boi</t>
        </is>
      </c>
      <c r="D51" s="26" t="inlineStr">
        <is>
          <t>Mobile</t>
        </is>
      </c>
      <c r="E51" s="29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6">
        <f>IF(F51="","",IF(F51&lt;=2.5,"Đạt","Chưa đạt"))</f>
        <v/>
      </c>
      <c r="Q51" s="29" t="n"/>
    </row>
    <row r="52">
      <c r="A52" s="28" t="n"/>
      <c r="B52" s="26" t="inlineStr">
        <is>
          <t>Tuần 12</t>
        </is>
      </c>
      <c r="C52" s="26" t="inlineStr">
        <is>
          <t>https://caretta.vn/</t>
        </is>
      </c>
      <c r="D52" s="26" t="inlineStr">
        <is>
          <t>Desktop</t>
        </is>
      </c>
      <c r="E52" s="29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6">
        <f>IF(F52="","",IF(F52&lt;=2.5,"Đạt","Chưa đạt"))</f>
        <v/>
      </c>
      <c r="Q52" s="29" t="n"/>
    </row>
    <row r="53">
      <c r="A53" s="28" t="n"/>
      <c r="B53" s="26" t="inlineStr">
        <is>
          <t>Tuần 12</t>
        </is>
      </c>
      <c r="C53" s="26" t="inlineStr">
        <is>
          <t>https://caretta.vn/products</t>
        </is>
      </c>
      <c r="D53" s="26" t="inlineStr">
        <is>
          <t>Desktop</t>
        </is>
      </c>
      <c r="E53" s="29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6">
        <f>IF(F53="","",IF(F53&lt;=2.5,"Đạt","Chưa đạt"))</f>
        <v/>
      </c>
      <c r="Q53" s="29" t="n"/>
    </row>
    <row r="54">
      <c r="A54" s="28" t="n"/>
      <c r="B54" s="26" t="inlineStr">
        <is>
          <t>Tuần 12</t>
        </is>
      </c>
      <c r="C54" s="26" t="inlineStr">
        <is>
          <t>https://caretta.vn/women</t>
        </is>
      </c>
      <c r="D54" s="26" t="inlineStr">
        <is>
          <t>Desktop</t>
        </is>
      </c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6">
        <f>IF(F54="","",IF(F54&lt;=2.5,"Đạt","Chưa đạt"))</f>
        <v/>
      </c>
      <c r="Q54" s="29" t="n"/>
    </row>
    <row r="55">
      <c r="A55" s="28" t="n"/>
      <c r="B55" s="26" t="inlineStr">
        <is>
          <t>Tuần 12</t>
        </is>
      </c>
      <c r="C55" s="26" t="inlineStr">
        <is>
          <t>https://caretta.vn/products/ao-phao-boi-khop-dong-caretta-challenger-light</t>
        </is>
      </c>
      <c r="D55" s="26" t="inlineStr">
        <is>
          <t>Desktop</t>
        </is>
      </c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6">
        <f>IF(F55="","",IF(F55&lt;=2.5,"Đạt","Chưa đạt"))</f>
        <v/>
      </c>
      <c r="Q55" s="29" t="n"/>
    </row>
    <row r="56">
      <c r="A56" s="28" t="n"/>
      <c r="B56" s="26" t="inlineStr">
        <is>
          <t>Tuần 12</t>
        </is>
      </c>
      <c r="C56" s="26" t="inlineStr">
        <is>
          <t>https://caretta.vn/lo-trinh-hoc-boi</t>
        </is>
      </c>
      <c r="D56" s="26" t="inlineStr">
        <is>
          <t>Desktop</t>
        </is>
      </c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6">
        <f>IF(F56="","",IF(F56&lt;=2.5,"Đạt","Chưa đạt"))</f>
        <v/>
      </c>
      <c r="Q56" s="29" t="n"/>
    </row>
  </sheetData>
  <conditionalFormatting sqref="P5:P56">
    <cfRule type="expression" priority="1" dxfId="0">
      <formula>$P5="Đạt"</formula>
    </cfRule>
    <cfRule type="expression" priority="2" dxfId="3">
      <formula>$P5="Chưa đạt"</formula>
    </cfRule>
  </conditionalFormatting>
  <dataValidations count="1">
    <dataValidation sqref="D5:D56" showDropDown="0" showInputMessage="0" showErrorMessage="0" allowBlank="1" type="list">
      <formula1>"Mobile,Desktop"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6" customWidth="1" min="3" max="3"/>
    <col width="40" customWidth="1" min="4" max="4"/>
    <col width="28" customWidth="1" min="5" max="5"/>
    <col width="34" customWidth="1" min="6" max="6"/>
    <col width="30" customWidth="1" min="7" max="7"/>
    <col width="28" customWidth="1" min="8" max="8"/>
    <col width="24" customWidth="1" min="9" max="9"/>
    <col width="12" customWidth="1" min="10" max="10"/>
    <col width="26" customWidth="1" min="11" max="11"/>
  </cols>
  <sheetData>
    <row r="1">
      <c r="A1" s="30" t="inlineStr">
        <is>
          <t>Việc từ tháng 4 đến tháng 12 (giai đoạn nội dung). Chi tiết hóa thành sheet tuần khi bắt đầu mỗi tháng.</t>
        </is>
      </c>
    </row>
    <row r="3">
      <c r="A3" s="6" t="inlineStr">
        <is>
          <t>Tháng</t>
        </is>
      </c>
      <c r="B3" s="6" t="inlineStr">
        <is>
          <t>Từ tuần</t>
        </is>
      </c>
      <c r="C3" s="6" t="inlineStr">
        <is>
          <t>Trọng tâm</t>
        </is>
      </c>
      <c r="D3" s="6" t="inlineStr">
        <is>
          <t>Nội dung / SEO</t>
        </is>
      </c>
      <c r="E3" s="6" t="inlineStr">
        <is>
          <t>Kỹ thuật</t>
        </is>
      </c>
      <c r="F3" s="6" t="inlineStr">
        <is>
          <t>Offpage / Thương hiệu</t>
        </is>
      </c>
      <c r="G3" s="6" t="inlineStr">
        <is>
          <t>Chuyển đổi</t>
        </is>
      </c>
      <c r="H3" s="6" t="inlineStr">
        <is>
          <t>KPI chính</t>
        </is>
      </c>
      <c r="I3" s="6" t="inlineStr">
        <is>
          <t>Output bắt buộc</t>
        </is>
      </c>
      <c r="J3" s="6" t="inlineStr">
        <is>
          <t>Trạng thái</t>
        </is>
      </c>
      <c r="K3" s="6" t="inlineStr">
        <is>
          <t>Ghi chú</t>
        </is>
      </c>
    </row>
    <row r="4" ht="48" customHeight="1">
      <c r="A4" s="20" t="inlineStr">
        <is>
          <t>Tháng 4</t>
        </is>
      </c>
      <c r="B4" s="20" t="inlineStr">
        <is>
          <t>~Tuần 13 (28/12/2026)</t>
        </is>
      </c>
      <c r="C4" s="21" t="inlineStr">
        <is>
          <t>Nội dung: học bơi đợt 1</t>
        </is>
      </c>
      <c r="D4" s="20" t="inlineStr">
        <is>
          <t>KD09 (5 bài lộ trình) + KD14 (chọn phao tập bơi) + KD11 (sợ nước): ~12 bài</t>
        </is>
      </c>
      <c r="E4" s="20" t="inlineStr">
        <is>
          <t>Mở index /kien-thuc-boi/ (301 từ /blog); schema Article</t>
        </is>
      </c>
      <c r="F4" s="20" t="inlineStr">
        <is>
          <t>Đăng lại dạng video ngắn TikTok/Reels, dẫn link bài</t>
        </is>
      </c>
      <c r="G4" s="20" t="inlineStr">
        <is>
          <t>CTA sản phẩm theo bước trong mỗi bài</t>
        </is>
      </c>
      <c r="H4" s="20" t="inlineStr">
        <is>
          <t>Số bài index; impression nhóm 'tự học bơi'</t>
        </is>
      </c>
      <c r="I4" s="20" t="inlineStr">
        <is>
          <t>12 bài live</t>
        </is>
      </c>
      <c r="J4" s="22" t="inlineStr">
        <is>
          <t>Chưa làm</t>
        </is>
      </c>
      <c r="K4" s="22" t="n"/>
    </row>
    <row r="5" ht="48" customHeight="1">
      <c r="A5" s="20" t="inlineStr">
        <is>
          <t>Tháng 5</t>
        </is>
      </c>
      <c r="B5" s="20" t="inlineStr">
        <is>
          <t>~Tuần 17 (25/01/2027)</t>
        </is>
      </c>
      <c r="C5" s="21" t="inlineStr">
        <is>
          <t>Nội dung: sản phẩm &amp; so sánh</t>
        </is>
      </c>
      <c r="D5" s="20" t="inlineStr">
        <is>
          <t>Cluster KD01, KD07, bài KD08 kín đáo: ~10 bài</t>
        </is>
      </c>
      <c r="E5" s="20" t="inlineStr"/>
      <c r="F5" s="20" t="inlineStr">
        <is>
          <t>Tiếp cận bài 'top đồ bơi' của Decathlon, Bradina, blog review để được nhắc tên</t>
        </is>
      </c>
      <c r="G5" s="20" t="inlineStr">
        <is>
          <t>Popup/banner hướng dẫn size</t>
        </is>
      </c>
      <c r="H5" s="20" t="inlineStr">
        <is>
          <t>Click từ bài Commercial vào sản phẩm</t>
        </is>
      </c>
      <c r="I5" s="20" t="inlineStr">
        <is>
          <t>10 bài live</t>
        </is>
      </c>
      <c r="J5" s="22" t="inlineStr">
        <is>
          <t>Chưa làm</t>
        </is>
      </c>
      <c r="K5" s="22" t="n"/>
    </row>
    <row r="6" ht="48" customHeight="1">
      <c r="A6" s="20" t="inlineStr">
        <is>
          <t>Tháng 6</t>
        </is>
      </c>
      <c r="B6" s="20" t="inlineStr">
        <is>
          <t>~Tuần 21 (22/02/2027)</t>
        </is>
      </c>
      <c r="C6" s="21" t="inlineStr">
        <is>
          <t>Nội dung: mùa hè cao điểm</t>
        </is>
      </c>
      <c r="D6" s="20" t="inlineStr">
        <is>
          <t>KD18 (đi biển), KD19 (combo, /uu-dai/): ~8 bài/landing</t>
        </is>
      </c>
      <c r="E6" s="20" t="inlineStr">
        <is>
          <t>Kiểm tra tốc độ trước mùa cao điểm</t>
        </is>
      </c>
      <c r="F6" s="20" t="inlineStr">
        <is>
          <t>Hợp tác KOL mẹ và bé, HLV bơi (cần xác minh ngân sách)</t>
        </is>
      </c>
      <c r="G6" s="20" t="inlineStr">
        <is>
          <t>Landing combo mùa hè</t>
        </is>
      </c>
      <c r="H6" s="20" t="inlineStr">
        <is>
          <t>Doanh thu organic tháng 6</t>
        </is>
      </c>
      <c r="I6" s="20" t="inlineStr">
        <is>
          <t>8 nội dung + 1 landing</t>
        </is>
      </c>
      <c r="J6" s="22" t="inlineStr">
        <is>
          <t>Chưa làm</t>
        </is>
      </c>
      <c r="K6" s="22" t="n"/>
    </row>
    <row r="7" ht="48" customHeight="1">
      <c r="A7" s="20" t="inlineStr">
        <is>
          <t>Tháng 7</t>
        </is>
      </c>
      <c r="B7" s="20" t="inlineStr">
        <is>
          <t>~Tuần 25 (22/03/2027)</t>
        </is>
      </c>
      <c r="C7" s="21" t="inlineStr">
        <is>
          <t>Nội dung: trẻ em</t>
        </is>
      </c>
      <c r="D7" s="20" t="inlineStr">
        <is>
          <t>Cluster KD03 + KD12: ~10 bài</t>
        </is>
      </c>
      <c r="E7" s="20" t="inlineStr"/>
      <c r="F7" s="20" t="inlineStr">
        <is>
          <t>Hợp tác trung tâm dạy bơi trẻ em</t>
        </is>
      </c>
      <c r="G7" s="20" t="inlineStr">
        <is>
          <t>Bảng chọn size theo tuổi</t>
        </is>
      </c>
      <c r="H7" s="20" t="inlineStr">
        <is>
          <t>Thứ hạng 'đồ bơi trẻ em có phao'</t>
        </is>
      </c>
      <c r="I7" s="20" t="inlineStr">
        <is>
          <t>10 bài live</t>
        </is>
      </c>
      <c r="J7" s="22" t="inlineStr">
        <is>
          <t>Chưa làm</t>
        </is>
      </c>
      <c r="K7" s="22" t="n"/>
    </row>
    <row r="8" ht="48" customHeight="1">
      <c r="A8" s="20" t="inlineStr">
        <is>
          <t>Tháng 8</t>
        </is>
      </c>
      <c r="B8" s="20" t="inlineStr">
        <is>
          <t>~Tuần 29 (19/04/2027)</t>
        </is>
      </c>
      <c r="C8" s="21" t="inlineStr">
        <is>
          <t>Nội dung: người lớn học bơi</t>
        </is>
      </c>
      <c r="D8" s="20" t="inlineStr">
        <is>
          <t>KD10 + KD13: ~10 bài</t>
        </is>
      </c>
      <c r="E8" s="20" t="inlineStr"/>
      <c r="F8" s="20" t="inlineStr">
        <is>
          <t>Guest post trên site thể thao/sức khỏe</t>
        </is>
      </c>
      <c r="G8" s="20" t="inlineStr">
        <is>
          <t>Lead magnet PDF 'Lộ trình 4 tuần tự học bơi'</t>
        </is>
      </c>
      <c r="H8" s="20" t="inlineStr">
        <is>
          <t>Impression toàn site</t>
        </is>
      </c>
      <c r="I8" s="20" t="inlineStr">
        <is>
          <t>10 bài live</t>
        </is>
      </c>
      <c r="J8" s="22" t="inlineStr">
        <is>
          <t>Chưa làm</t>
        </is>
      </c>
      <c r="K8" s="22" t="n"/>
    </row>
    <row r="9" ht="48" customHeight="1">
      <c r="A9" s="20" t="inlineStr">
        <is>
          <t>Tháng 9</t>
        </is>
      </c>
      <c r="B9" s="20" t="inlineStr">
        <is>
          <t>~Tuần 33 (17/05/2027)</t>
        </is>
      </c>
      <c r="C9" s="21" t="inlineStr">
        <is>
          <t>Nội dung: an toàn &amp; công nghệ</t>
        </is>
      </c>
      <c r="D9" s="20" t="inlineStr">
        <is>
          <t>KD15 + KD17: ~10 bài (chuyên gia/HLV duyệt)</t>
        </is>
      </c>
      <c r="E9" s="20" t="inlineStr"/>
      <c r="F9" s="20" t="inlineStr">
        <is>
          <t>Liên hệ báo chí về sản phẩm Made in Vietnam</t>
        </is>
      </c>
      <c r="G9" s="20" t="inlineStr">
        <is>
          <t>Hiển thị review thật trên sản phẩm</t>
        </is>
      </c>
      <c r="H9" s="20" t="inlineStr">
        <is>
          <t>Số trang có link từ báo/blog ngoài</t>
        </is>
      </c>
      <c r="I9" s="20" t="inlineStr">
        <is>
          <t>10 bài live</t>
        </is>
      </c>
      <c r="J9" s="22" t="inlineStr">
        <is>
          <t>Chưa làm</t>
        </is>
      </c>
      <c r="K9" s="22" t="n"/>
    </row>
    <row r="10" ht="48" customHeight="1">
      <c r="A10" s="20" t="inlineStr">
        <is>
          <t>Tháng 10</t>
        </is>
      </c>
      <c r="B10" s="20" t="inlineStr">
        <is>
          <t>~Tuần 37 (14/06/2027)</t>
        </is>
      </c>
      <c r="C10" s="21" t="inlineStr">
        <is>
          <t>Nội dung: chọn đồ bơi &amp; persona</t>
        </is>
      </c>
      <c r="D10" s="20" t="inlineStr">
        <is>
          <t>KD05, KD06, KD16: ~10 bài</t>
        </is>
      </c>
      <c r="E10" s="20" t="inlineStr"/>
      <c r="F10" s="20" t="inlineStr"/>
      <c r="G10" s="20" t="inlineStr">
        <is>
          <t>Tối ưu trang có impression cao, CTR thấp (GSC)</t>
        </is>
      </c>
      <c r="H10" s="20" t="inlineStr">
        <is>
          <t>CTR trung bình</t>
        </is>
      </c>
      <c r="I10" s="20" t="inlineStr">
        <is>
          <t>10 bài live + 10 bài tối ưu lại</t>
        </is>
      </c>
      <c r="J10" s="22" t="inlineStr">
        <is>
          <t>Chưa làm</t>
        </is>
      </c>
      <c r="K10" s="22" t="n"/>
    </row>
    <row r="11" ht="48" customHeight="1">
      <c r="A11" s="20" t="inlineStr">
        <is>
          <t>Tháng 11</t>
        </is>
      </c>
      <c r="B11" s="20" t="inlineStr">
        <is>
          <t>~Tuần 41 (12/07/2027)</t>
        </is>
      </c>
      <c r="C11" s="21" t="inlineStr">
        <is>
          <t>Làm mới &amp; mở rộng</t>
        </is>
      </c>
      <c r="D11" s="20" t="inlineStr">
        <is>
          <t>Refresh 20 bài vị trí 8–20; KD04 (nam) nếu có sản phẩm</t>
        </is>
      </c>
      <c r="E11" s="20" t="inlineStr"/>
      <c r="F11" s="20" t="inlineStr">
        <is>
          <t>Thêm review, câu hỏi khách vào FAQ</t>
        </is>
      </c>
      <c r="G11" s="20" t="inlineStr">
        <is>
          <t>A/B test tiêu đề sản phẩm</t>
        </is>
      </c>
      <c r="H11" s="20" t="inlineStr">
        <is>
          <t>Số từ khóa top 10</t>
        </is>
      </c>
      <c r="I11" s="20" t="inlineStr">
        <is>
          <t>Báo cáo từ khóa trang 2 → trang 1</t>
        </is>
      </c>
      <c r="J11" s="22" t="inlineStr">
        <is>
          <t>Chưa làm</t>
        </is>
      </c>
      <c r="K11" s="22" t="n"/>
    </row>
    <row r="12" ht="48" customHeight="1">
      <c r="A12" s="20" t="inlineStr">
        <is>
          <t>Tháng 12</t>
        </is>
      </c>
      <c r="B12" s="20" t="inlineStr">
        <is>
          <t>~Tuần 45 (09/08/2027)</t>
        </is>
      </c>
      <c r="C12" s="21" t="inlineStr">
        <is>
          <t>Tổng kết &amp; kế hoạch năm 2</t>
        </is>
      </c>
      <c r="D12" s="20" t="inlineStr">
        <is>
          <t>Kế hoạch nội dung năm 2 theo dữ liệu GSC</t>
        </is>
      </c>
      <c r="E12" s="20" t="inlineStr">
        <is>
          <t>Audit lại toàn site</t>
        </is>
      </c>
      <c r="F12" s="20" t="inlineStr">
        <is>
          <t>Tổng hợp link, review</t>
        </is>
      </c>
      <c r="G12" s="20" t="inlineStr">
        <is>
          <t>Tối ưu phễu mua hàng</t>
        </is>
      </c>
      <c r="H12" s="20" t="inlineStr">
        <is>
          <t>Tất cả KPI</t>
        </is>
      </c>
      <c r="I12" s="20" t="inlineStr">
        <is>
          <t>Báo cáo 12 tháng + roadmap năm 2</t>
        </is>
      </c>
      <c r="J12" s="22" t="inlineStr">
        <is>
          <t>Chưa làm</t>
        </is>
      </c>
      <c r="K12" s="22" t="n"/>
    </row>
    <row r="14">
      <c r="A14" s="16" t="inlineStr">
        <is>
          <t>Nguồn: sheet 07_Roadmap_12_Thang, 05_20_Pillar, 06_100_Cluster trong CARETTA_SEO_Strategy.xlsx. Lịch tháng tính tiếp nối 12 tuần sửa website.</t>
        </is>
      </c>
    </row>
  </sheetData>
  <conditionalFormatting sqref="A4:K12">
    <cfRule type="expression" priority="1" dxfId="0">
      <formula>$J4="Xong"</formula>
    </cfRule>
    <cfRule type="expression" priority="2" dxfId="1">
      <formula>$J4="Đang làm"</formula>
    </cfRule>
    <cfRule type="expression" priority="3" dxfId="2">
      <formula>$J4="Chờ duyệt"</formula>
    </cfRule>
    <cfRule type="expression" priority="4" dxfId="3">
      <formula>$J4="Vướng"</formula>
    </cfRule>
  </conditionalFormatting>
  <dataValidations count="1">
    <dataValidation sqref="J4:J12" showDropDown="0" showInputMessage="0" showErrorMessage="0" allowBlank="1" type="list">
      <formula1>"Chưa làm,Đang làm,Chờ duyệt,Xong,Vướng"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2026-10-05T01:27:20Z</dcterms:created>
  <dcterms:modified xsi:type="dcterms:W3CDTF">2026-10-05T01:27:20Z</dcterms:modified>
</cp:coreProperties>
</file>